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1b89b5be7169a28/Desktop/"/>
    </mc:Choice>
  </mc:AlternateContent>
  <xr:revisionPtr revIDLastSave="0" documentId="8_{D7F413C4-DC47-4ACB-A826-B8909C13A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 results" sheetId="1" r:id="rId1"/>
    <sheet name="Podium " sheetId="2" r:id="rId2"/>
    <sheet name="All Entries" sheetId="3" state="hidden" r:id="rId3"/>
  </sheets>
  <definedNames>
    <definedName name="_xlnm._FilterDatabase" localSheetId="0" hidden="1">'Overal results'!$A$1:$S$416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1Bs2BewsTqCtu1ktIdR2bMojF/6bpirlYuoNrYT0PU="/>
    </ext>
  </extLst>
</workbook>
</file>

<file path=xl/calcChain.xml><?xml version="1.0" encoding="utf-8"?>
<calcChain xmlns="http://schemas.openxmlformats.org/spreadsheetml/2006/main">
  <c r="H467" i="3" l="1"/>
  <c r="G467" i="3"/>
  <c r="H466" i="3"/>
  <c r="G466" i="3"/>
  <c r="H465" i="3"/>
  <c r="G465" i="3"/>
  <c r="H464" i="3"/>
  <c r="G464" i="3"/>
  <c r="H463" i="3"/>
  <c r="G463" i="3"/>
  <c r="H462" i="3"/>
  <c r="G462" i="3"/>
  <c r="H460" i="3"/>
  <c r="G460" i="3"/>
  <c r="H459" i="3"/>
  <c r="G459" i="3"/>
  <c r="H458" i="3"/>
  <c r="G458" i="3"/>
  <c r="H457" i="3"/>
  <c r="G457" i="3"/>
  <c r="H456" i="3"/>
  <c r="G456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2" i="3"/>
  <c r="G402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I377" i="3"/>
  <c r="H377" i="3"/>
  <c r="H376" i="3"/>
  <c r="G376" i="3"/>
  <c r="H375" i="3"/>
  <c r="G375" i="3"/>
  <c r="H374" i="3"/>
  <c r="G374" i="3"/>
  <c r="H371" i="3"/>
  <c r="G371" i="3"/>
  <c r="H368" i="3"/>
  <c r="G368" i="3"/>
  <c r="H367" i="3"/>
  <c r="G367" i="3"/>
  <c r="H366" i="3"/>
  <c r="G366" i="3"/>
  <c r="H365" i="3"/>
  <c r="G365" i="3"/>
  <c r="H364" i="3"/>
  <c r="G364" i="3"/>
  <c r="H362" i="3"/>
  <c r="G362" i="3"/>
  <c r="H360" i="3"/>
  <c r="G360" i="3"/>
  <c r="H359" i="3"/>
  <c r="G359" i="3"/>
  <c r="H356" i="3"/>
  <c r="G356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5" i="3"/>
  <c r="G345" i="3"/>
  <c r="H344" i="3"/>
  <c r="G344" i="3"/>
  <c r="H341" i="3"/>
  <c r="G341" i="3"/>
  <c r="H340" i="3"/>
  <c r="G340" i="3"/>
  <c r="H339" i="3"/>
  <c r="G339" i="3"/>
  <c r="H338" i="3"/>
  <c r="G338" i="3"/>
  <c r="H337" i="3"/>
  <c r="G337" i="3"/>
  <c r="G334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3" i="3"/>
  <c r="G323" i="3"/>
  <c r="H319" i="3"/>
  <c r="G319" i="3"/>
  <c r="H318" i="3"/>
  <c r="G318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G304" i="3"/>
  <c r="H302" i="3"/>
  <c r="G302" i="3"/>
  <c r="H301" i="3"/>
  <c r="G301" i="3"/>
  <c r="H300" i="3"/>
  <c r="G300" i="3"/>
  <c r="H297" i="3"/>
  <c r="G297" i="3"/>
  <c r="H296" i="3"/>
  <c r="G296" i="3"/>
  <c r="H295" i="3"/>
  <c r="G295" i="3"/>
  <c r="H291" i="3"/>
  <c r="G291" i="3"/>
  <c r="H290" i="3"/>
  <c r="G290" i="3"/>
  <c r="H289" i="3"/>
  <c r="G289" i="3"/>
  <c r="H288" i="3"/>
  <c r="G288" i="3"/>
  <c r="H287" i="3"/>
  <c r="G287" i="3"/>
  <c r="H285" i="3"/>
  <c r="G285" i="3"/>
  <c r="H284" i="3"/>
  <c r="G284" i="3"/>
  <c r="H283" i="3"/>
  <c r="G283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4" i="3"/>
  <c r="G264" i="3"/>
  <c r="H262" i="3"/>
  <c r="G262" i="3"/>
  <c r="H261" i="3"/>
  <c r="G261" i="3"/>
  <c r="H260" i="3"/>
  <c r="G260" i="3"/>
  <c r="H259" i="3"/>
  <c r="G259" i="3"/>
  <c r="I255" i="3"/>
  <c r="H255" i="3"/>
  <c r="I253" i="3"/>
  <c r="H253" i="3"/>
  <c r="H252" i="3"/>
  <c r="G252" i="3"/>
  <c r="H251" i="3"/>
  <c r="G251" i="3"/>
  <c r="H250" i="3"/>
  <c r="G250" i="3"/>
  <c r="H249" i="3"/>
  <c r="G249" i="3"/>
  <c r="H247" i="3"/>
  <c r="G247" i="3"/>
  <c r="H246" i="3"/>
  <c r="G246" i="3"/>
  <c r="H245" i="3"/>
  <c r="G245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0" i="3"/>
  <c r="G200" i="3"/>
  <c r="H198" i="3"/>
  <c r="G198" i="3"/>
  <c r="H197" i="3"/>
  <c r="G197" i="3"/>
  <c r="H196" i="3"/>
  <c r="G196" i="3"/>
  <c r="H195" i="3"/>
  <c r="G195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7" i="3"/>
  <c r="G157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2" i="3"/>
  <c r="G142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3" i="3"/>
  <c r="G113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</calcChain>
</file>

<file path=xl/sharedStrings.xml><?xml version="1.0" encoding="utf-8"?>
<sst xmlns="http://schemas.openxmlformats.org/spreadsheetml/2006/main" count="8082" uniqueCount="3171">
  <si>
    <t>Name</t>
  </si>
  <si>
    <t>Bib</t>
  </si>
  <si>
    <t>DOB</t>
  </si>
  <si>
    <t>Category</t>
  </si>
  <si>
    <t>Gender</t>
  </si>
  <si>
    <t>State</t>
  </si>
  <si>
    <t>Email ID</t>
  </si>
  <si>
    <t>Swim</t>
  </si>
  <si>
    <t>T1</t>
  </si>
  <si>
    <t>Total Time</t>
  </si>
  <si>
    <t>Phone Number</t>
  </si>
  <si>
    <t>Bike Time</t>
  </si>
  <si>
    <t>T2</t>
  </si>
  <si>
    <t>Emergency number</t>
  </si>
  <si>
    <t>Position</t>
  </si>
  <si>
    <t>Run</t>
  </si>
  <si>
    <t>Tshirt Size</t>
  </si>
  <si>
    <t>Medical Condition if any</t>
  </si>
  <si>
    <t>Jordan Qualifcation</t>
  </si>
  <si>
    <t>Apace Jersey</t>
  </si>
  <si>
    <t>Coach name</t>
  </si>
  <si>
    <t>Phone No</t>
  </si>
  <si>
    <t>Junior</t>
  </si>
  <si>
    <t>F</t>
  </si>
  <si>
    <t>CATEGORY- PARA (86)</t>
  </si>
  <si>
    <t>Kanakshree Dharwal</t>
  </si>
  <si>
    <t>Madhya Pradesh</t>
  </si>
  <si>
    <t>03:44.46</t>
  </si>
  <si>
    <t>01:52.07</t>
  </si>
  <si>
    <t>15:36.80</t>
  </si>
  <si>
    <t>01:17.72</t>
  </si>
  <si>
    <t>09:31.61</t>
  </si>
  <si>
    <t>32:02.68</t>
  </si>
  <si>
    <t>Kids Tri (u14) - Female</t>
  </si>
  <si>
    <t>1.</t>
  </si>
  <si>
    <t>Sejal vikas patil</t>
  </si>
  <si>
    <t>Maharashtra</t>
  </si>
  <si>
    <t>03:34.18</t>
  </si>
  <si>
    <t>01:29.01</t>
  </si>
  <si>
    <t>15:38.88</t>
  </si>
  <si>
    <t>01:09.48</t>
  </si>
  <si>
    <t>10:19.25</t>
  </si>
  <si>
    <t>32:10.81</t>
  </si>
  <si>
    <t>2.</t>
  </si>
  <si>
    <t>Nongmaithem Nelshi</t>
  </si>
  <si>
    <t>Manipur</t>
  </si>
  <si>
    <t>04:01.80</t>
  </si>
  <si>
    <t>01:22.64</t>
  </si>
  <si>
    <t>15:19.27</t>
  </si>
  <si>
    <t>01:17.30</t>
  </si>
  <si>
    <t>10:12.76</t>
  </si>
  <si>
    <t>32:13.79</t>
  </si>
  <si>
    <t>3.</t>
  </si>
  <si>
    <t>KRISHA JARODIYA</t>
  </si>
  <si>
    <t>Gujarat</t>
  </si>
  <si>
    <t>04:04.61</t>
  </si>
  <si>
    <t>01:23.04</t>
  </si>
  <si>
    <t>15:21.68</t>
  </si>
  <si>
    <t>01:22.35</t>
  </si>
  <si>
    <t>10:37.36</t>
  </si>
  <si>
    <t>32:49.07</t>
  </si>
  <si>
    <t>4.</t>
  </si>
  <si>
    <t>GAURI SHRIRAM SINGADE</t>
  </si>
  <si>
    <t>04:03.89</t>
  </si>
  <si>
    <t>01:34.95</t>
  </si>
  <si>
    <t>Bhavyaditya singh rathore</t>
  </si>
  <si>
    <t>15:22.95</t>
  </si>
  <si>
    <t>01:51.57</t>
  </si>
  <si>
    <t>10:36.31</t>
  </si>
  <si>
    <t>33:29.69</t>
  </si>
  <si>
    <t>5.</t>
  </si>
  <si>
    <t>Vippala Hithaishini Reddy</t>
  </si>
  <si>
    <t>Karnataka</t>
  </si>
  <si>
    <t>04:14.33</t>
  </si>
  <si>
    <t>01:52.15</t>
  </si>
  <si>
    <t>18:56.85</t>
  </si>
  <si>
    <t>01:38.68</t>
  </si>
  <si>
    <t>12:08.47</t>
  </si>
  <si>
    <t>38:50.50</t>
  </si>
  <si>
    <t>6.</t>
  </si>
  <si>
    <t>Geetika Chauhan</t>
  </si>
  <si>
    <t>Uttar pradesh</t>
  </si>
  <si>
    <t>04:32.70</t>
  </si>
  <si>
    <t>02:02.76</t>
  </si>
  <si>
    <t>18:50.50</t>
  </si>
  <si>
    <t>01:27.98</t>
  </si>
  <si>
    <t>PTS (Standing / Ambulant)</t>
  </si>
  <si>
    <t>13:58.84</t>
  </si>
  <si>
    <t>40:52.79</t>
  </si>
  <si>
    <t>Male</t>
  </si>
  <si>
    <t>7.</t>
  </si>
  <si>
    <t>chandrapal.jhabua@gmail.com</t>
  </si>
  <si>
    <t>TAMIL SELVI</t>
  </si>
  <si>
    <t>Tamil Nadu</t>
  </si>
  <si>
    <t>04:02.06</t>
  </si>
  <si>
    <t>01:59.05</t>
  </si>
  <si>
    <t>18:41.17</t>
  </si>
  <si>
    <t>01:38.47</t>
  </si>
  <si>
    <t>15:07.75</t>
  </si>
  <si>
    <t>41:28.53</t>
  </si>
  <si>
    <t>8.</t>
  </si>
  <si>
    <t>Anika Viji</t>
  </si>
  <si>
    <t>03:49.88</t>
  </si>
  <si>
    <t>01:44.22</t>
  </si>
  <si>
    <t>16:58.00</t>
  </si>
  <si>
    <t>06:14.71</t>
  </si>
  <si>
    <t>13:37.94</t>
  </si>
  <si>
    <t>Kids Tri (u14)</t>
  </si>
  <si>
    <t>42:24.77</t>
  </si>
  <si>
    <t>9.</t>
  </si>
  <si>
    <t>AKOIJAM LANGLEN DEVI</t>
  </si>
  <si>
    <t>Sanskriti Dee Oleyman</t>
  </si>
  <si>
    <t>Assam</t>
  </si>
  <si>
    <t>21:13.01</t>
  </si>
  <si>
    <t>05:40.16</t>
  </si>
  <si>
    <t>02:13.59</t>
  </si>
  <si>
    <t>19:10.00</t>
  </si>
  <si>
    <t>01:43.45</t>
  </si>
  <si>
    <t>14:24.80</t>
  </si>
  <si>
    <t>43:12.02</t>
  </si>
  <si>
    <t>10.</t>
  </si>
  <si>
    <t>Hasti Dharamshi</t>
  </si>
  <si>
    <t>04:37.25</t>
  </si>
  <si>
    <t>02:13.47</t>
  </si>
  <si>
    <t>20:47.59</t>
  </si>
  <si>
    <t>01:37.49</t>
  </si>
  <si>
    <t>15:42.48</t>
  </si>
  <si>
    <t>44:58.30</t>
  </si>
  <si>
    <t>11.</t>
  </si>
  <si>
    <t>Yes</t>
  </si>
  <si>
    <t>VIOLINA SONOWAL</t>
  </si>
  <si>
    <t>Smal</t>
  </si>
  <si>
    <t>Ok</t>
  </si>
  <si>
    <t>05:19.24</t>
  </si>
  <si>
    <t>02:08.27</t>
  </si>
  <si>
    <t>akoijambiken16@gmail.com</t>
  </si>
  <si>
    <t>20:08.77</t>
  </si>
  <si>
    <t>01:44.51</t>
  </si>
  <si>
    <t>16:27.77</t>
  </si>
  <si>
    <t>45:48.56</t>
  </si>
  <si>
    <t>12.</t>
  </si>
  <si>
    <t>M</t>
  </si>
  <si>
    <t>ABHINAV RAJ</t>
  </si>
  <si>
    <t>Thokchom Gautam Singh</t>
  </si>
  <si>
    <t>03:27.35</t>
  </si>
  <si>
    <t>01:09.59</t>
  </si>
  <si>
    <t>13:38.33</t>
  </si>
  <si>
    <t>01:13.55</t>
  </si>
  <si>
    <t>Chhattisgarh</t>
  </si>
  <si>
    <t>08:41.81</t>
  </si>
  <si>
    <t>LEISHANGTHEM SAIYONBI CHANU</t>
  </si>
  <si>
    <t>amitkumar4982@gmail.com</t>
  </si>
  <si>
    <t>28:10.65</t>
  </si>
  <si>
    <t>21:14.21</t>
  </si>
  <si>
    <t>R SHAAI PUGALESH</t>
  </si>
  <si>
    <t>Tamilnadu</t>
  </si>
  <si>
    <t>03:29.62</t>
  </si>
  <si>
    <t>01:48.31</t>
  </si>
  <si>
    <t>14:38.95</t>
  </si>
  <si>
    <t>01:02.13</t>
  </si>
  <si>
    <t>08:43.33</t>
  </si>
  <si>
    <t>29:42.35</t>
  </si>
  <si>
    <t>Leishangthem Rebishan</t>
  </si>
  <si>
    <t>Payal Prashant Patil</t>
  </si>
  <si>
    <t>03:57.81</t>
  </si>
  <si>
    <t>01:18.09</t>
  </si>
  <si>
    <t>14:36.06</t>
  </si>
  <si>
    <t>21:34.90</t>
  </si>
  <si>
    <t>01:05.80</t>
  </si>
  <si>
    <t>08:47.52</t>
  </si>
  <si>
    <t>Medium</t>
  </si>
  <si>
    <t>29:45.30</t>
  </si>
  <si>
    <t>Medically fit but balancing problem</t>
  </si>
  <si>
    <t>Sai Smaran Nalluri</t>
  </si>
  <si>
    <t>03:18.51</t>
  </si>
  <si>
    <t>01:45.76</t>
  </si>
  <si>
    <t>14:33.14</t>
  </si>
  <si>
    <t>Yashdeep Dabass</t>
  </si>
  <si>
    <t>01:05.30</t>
  </si>
  <si>
    <t>09:36.14</t>
  </si>
  <si>
    <t>PTWC (Wheelchair)</t>
  </si>
  <si>
    <t>30:18.87</t>
  </si>
  <si>
    <t>Kids Tri (u14) - Male</t>
  </si>
  <si>
    <t>SSCB</t>
  </si>
  <si>
    <t>ydabass@gmail.com</t>
  </si>
  <si>
    <t>AYUSH SHARMA</t>
  </si>
  <si>
    <t>MADYA PRADESH</t>
  </si>
  <si>
    <t>03:30.94</t>
  </si>
  <si>
    <t>01:55.76</t>
  </si>
  <si>
    <t>15:01.54</t>
  </si>
  <si>
    <t>01:05.31</t>
  </si>
  <si>
    <t>09:22.03</t>
  </si>
  <si>
    <t>30:55.59</t>
  </si>
  <si>
    <t>ORION Sharma</t>
  </si>
  <si>
    <t>Uttar Pradesh</t>
  </si>
  <si>
    <t>04:14.25</t>
  </si>
  <si>
    <t>XX Large</t>
  </si>
  <si>
    <t>01:29.67</t>
  </si>
  <si>
    <t>14:03.30</t>
  </si>
  <si>
    <t>Spinal Cord Injury - Traumatic Paraplegia (D12-L1</t>
  </si>
  <si>
    <t>01:18.63</t>
  </si>
  <si>
    <t>09:56.54</t>
  </si>
  <si>
    <t>31:02.40</t>
  </si>
  <si>
    <t>Hemanshu Nandkishor Narkhede</t>
  </si>
  <si>
    <t>Rajkumar Herojit Singh</t>
  </si>
  <si>
    <t>RAJ HANDE</t>
  </si>
  <si>
    <t>18:35.56</t>
  </si>
  <si>
    <t>03:58.44</t>
  </si>
  <si>
    <t>01:33.23</t>
  </si>
  <si>
    <t>15:17.08</t>
  </si>
  <si>
    <t>rkherojits@gmail.com</t>
  </si>
  <si>
    <t>nandkishornarkhede1508@gmail.com</t>
  </si>
  <si>
    <t>01:02.84</t>
  </si>
  <si>
    <t>09:17.50</t>
  </si>
  <si>
    <t>31:09.11</t>
  </si>
  <si>
    <t>VATSAL PALIVELA</t>
  </si>
  <si>
    <t>Telangana</t>
  </si>
  <si>
    <t>03:39.39</t>
  </si>
  <si>
    <t>01:50.13</t>
  </si>
  <si>
    <t>14:56.91</t>
  </si>
  <si>
    <t>01:14.00</t>
  </si>
  <si>
    <t>09:52.66</t>
  </si>
  <si>
    <t>31:33.12</t>
  </si>
  <si>
    <t>MOHD DANISH</t>
  </si>
  <si>
    <t>19:31.95</t>
  </si>
  <si>
    <t>Vivaan Couto</t>
  </si>
  <si>
    <t>04:28.17</t>
  </si>
  <si>
    <t>01:40.89</t>
  </si>
  <si>
    <t>14:56.39</t>
  </si>
  <si>
    <t>01:17.74</t>
  </si>
  <si>
    <t>09:38.43</t>
  </si>
  <si>
    <t>32:01.65</t>
  </si>
  <si>
    <t>Paraplegic</t>
  </si>
  <si>
    <t>Ahmed yarkhan</t>
  </si>
  <si>
    <t>GURUARIBAM KENYSON SHARMA</t>
  </si>
  <si>
    <t>04:08.71</t>
  </si>
  <si>
    <t>19:39.35</t>
  </si>
  <si>
    <t>01:25.89</t>
  </si>
  <si>
    <t>vikram singh Gurjar</t>
  </si>
  <si>
    <t>14:55.12</t>
  </si>
  <si>
    <t>01:19.25</t>
  </si>
  <si>
    <t>Rajasthan</t>
  </si>
  <si>
    <t>10:20.81</t>
  </si>
  <si>
    <t>vikramsinghfagna17@gmail.com</t>
  </si>
  <si>
    <t>32:09.80</t>
  </si>
  <si>
    <t>PARA (PTS2_3) Male</t>
  </si>
  <si>
    <t>Sanchit Bandgar</t>
  </si>
  <si>
    <t>04:25.03</t>
  </si>
  <si>
    <t>X Large</t>
  </si>
  <si>
    <t>01:43.03</t>
  </si>
  <si>
    <t>Painkiller Paracetamol</t>
  </si>
  <si>
    <t>15:35.19</t>
  </si>
  <si>
    <t>01:16.73</t>
  </si>
  <si>
    <t>09:20.16</t>
  </si>
  <si>
    <t>32:20.15</t>
  </si>
  <si>
    <t>Abishek</t>
  </si>
  <si>
    <t>Dhruv Sahu</t>
  </si>
  <si>
    <t>MADHYA PRADESH</t>
  </si>
  <si>
    <t>Chandigarh</t>
  </si>
  <si>
    <t>shekuaprilsummers@gmail.com</t>
  </si>
  <si>
    <t>PTS2_3</t>
  </si>
  <si>
    <t>04:06.59</t>
  </si>
  <si>
    <t>KAPIL DEV</t>
  </si>
  <si>
    <t>01:32.73</t>
  </si>
  <si>
    <t>PUNJAB</t>
  </si>
  <si>
    <t>15:25.58</t>
  </si>
  <si>
    <t>46:53.86</t>
  </si>
  <si>
    <t>01:16.66</t>
  </si>
  <si>
    <t>10:50.21</t>
  </si>
  <si>
    <t>33:11.78</t>
  </si>
  <si>
    <t>Pffd</t>
  </si>
  <si>
    <t>Rajveer Tiwari</t>
  </si>
  <si>
    <t>Surender Singh Rawat</t>
  </si>
  <si>
    <t>03:57.26</t>
  </si>
  <si>
    <t>01:48.71</t>
  </si>
  <si>
    <t>Uttrakhand</t>
  </si>
  <si>
    <t>14:37.54</t>
  </si>
  <si>
    <t>sonur2915@gmail.com</t>
  </si>
  <si>
    <t>01:30.01</t>
  </si>
  <si>
    <t>Md Golam Rabbani</t>
  </si>
  <si>
    <t>11:18.28</t>
  </si>
  <si>
    <t>HARYANA</t>
  </si>
  <si>
    <t>33:11.81</t>
  </si>
  <si>
    <t>53:29.11</t>
  </si>
  <si>
    <t>13.</t>
  </si>
  <si>
    <t>Bandari sai sri praneeth</t>
  </si>
  <si>
    <t>03:27.22</t>
  </si>
  <si>
    <t>01:46.97</t>
  </si>
  <si>
    <t>Cold</t>
  </si>
  <si>
    <t>15:01.88</t>
  </si>
  <si>
    <t>01:16.31</t>
  </si>
  <si>
    <t>12:06.04</t>
  </si>
  <si>
    <t>Shankar Dayal varma</t>
  </si>
  <si>
    <t>33:38.44</t>
  </si>
  <si>
    <t>Madya Pradesh</t>
  </si>
  <si>
    <t>KAPIL SAHU</t>
  </si>
  <si>
    <t>14.</t>
  </si>
  <si>
    <t>1:44:56.69</t>
  </si>
  <si>
    <t>PTVI (Visually Impaired)</t>
  </si>
  <si>
    <t>kplsahu@gmail.com</t>
  </si>
  <si>
    <t>YUG AHLAWAT</t>
  </si>
  <si>
    <t>Delhi</t>
  </si>
  <si>
    <t>03:43.49</t>
  </si>
  <si>
    <t>02:00.63</t>
  </si>
  <si>
    <t>15:44.27</t>
  </si>
  <si>
    <t>01:12.65</t>
  </si>
  <si>
    <t>11:14.81</t>
  </si>
  <si>
    <t>33:55.87</t>
  </si>
  <si>
    <t>PARA (PTS4_5) FEMALE</t>
  </si>
  <si>
    <t>15.</t>
  </si>
  <si>
    <t>Large</t>
  </si>
  <si>
    <t>RAHUL HANSDAH</t>
  </si>
  <si>
    <t>Fit</t>
  </si>
  <si>
    <t>JHARKHAND</t>
  </si>
  <si>
    <t>04:48.30</t>
  </si>
  <si>
    <t>01:53.96</t>
  </si>
  <si>
    <t>15:21.60</t>
  </si>
  <si>
    <t>01:25.99</t>
  </si>
  <si>
    <t>10:43.42</t>
  </si>
  <si>
    <t>SHANKAR DAYAL VARMA</t>
  </si>
  <si>
    <t>34:13.29</t>
  </si>
  <si>
    <t>16.</t>
  </si>
  <si>
    <t>SHANKARV968@GMAIL.COM</t>
  </si>
  <si>
    <t>Kavin DM</t>
  </si>
  <si>
    <t>03:50.17</t>
  </si>
  <si>
    <t>01:59.18</t>
  </si>
  <si>
    <t>16:52.58</t>
  </si>
  <si>
    <t>01:18.80</t>
  </si>
  <si>
    <t>10:56.48</t>
  </si>
  <si>
    <t>34:57.23</t>
  </si>
  <si>
    <t>17.</t>
  </si>
  <si>
    <t>PTS4_5</t>
  </si>
  <si>
    <t>Shashruti Vinayak Nakade</t>
  </si>
  <si>
    <t>ok</t>
  </si>
  <si>
    <t>MAHARASHTRA</t>
  </si>
  <si>
    <t>MAYANK CHOUDHARY</t>
  </si>
  <si>
    <t>46:58.14</t>
  </si>
  <si>
    <t>Uttarakhand</t>
  </si>
  <si>
    <t>04:26.54</t>
  </si>
  <si>
    <t>Hemant</t>
  </si>
  <si>
    <t>01:55.26</t>
  </si>
  <si>
    <t>15:22.71</t>
  </si>
  <si>
    <t>01:20.53</t>
  </si>
  <si>
    <t>abhineetabhineet27@gmail.com</t>
  </si>
  <si>
    <t>12:04.61</t>
  </si>
  <si>
    <t>35:09.66</t>
  </si>
  <si>
    <t>18.</t>
  </si>
  <si>
    <t>DIYA VP</t>
  </si>
  <si>
    <t>HIMANSHU YADAV</t>
  </si>
  <si>
    <t>TAMIL NADU</t>
  </si>
  <si>
    <t>55:05.60</t>
  </si>
  <si>
    <t>04:32.32</t>
  </si>
  <si>
    <t>02:27.64</t>
  </si>
  <si>
    <t>15:45.51</t>
  </si>
  <si>
    <t>No</t>
  </si>
  <si>
    <t>01:28.70</t>
  </si>
  <si>
    <t>10:56.33</t>
  </si>
  <si>
    <t>35:10.52</t>
  </si>
  <si>
    <t>19.</t>
  </si>
  <si>
    <t>PARA (PTS4_5) MALE</t>
  </si>
  <si>
    <t>Rahul verma</t>
  </si>
  <si>
    <t>Saiesh Malvankar</t>
  </si>
  <si>
    <t>04:11.02</t>
  </si>
  <si>
    <t>01:42.57</t>
  </si>
  <si>
    <t>16:40.32</t>
  </si>
  <si>
    <t>01:31.12</t>
  </si>
  <si>
    <t>Rv4268887@gmail.com</t>
  </si>
  <si>
    <t>11:14.66</t>
  </si>
  <si>
    <t>35:19.71</t>
  </si>
  <si>
    <t>20.</t>
  </si>
  <si>
    <t>HARSH RAKESHKUMAR MAKWANA</t>
  </si>
  <si>
    <t>03:32.20</t>
  </si>
  <si>
    <t>01:48.23</t>
  </si>
  <si>
    <t>15:46.20</t>
  </si>
  <si>
    <t>01:34.71</t>
  </si>
  <si>
    <t>12:43.67</t>
  </si>
  <si>
    <t>35:25.03</t>
  </si>
  <si>
    <t>21.</t>
  </si>
  <si>
    <t>Binu G</t>
  </si>
  <si>
    <t>YAIPHABA KHUMANTHEM</t>
  </si>
  <si>
    <t>32:41.14</t>
  </si>
  <si>
    <t>04:38.13</t>
  </si>
  <si>
    <t>01:53.27</t>
  </si>
  <si>
    <t>15:09.55</t>
  </si>
  <si>
    <t>01:21.40</t>
  </si>
  <si>
    <t>Shridhar Nagappa Malagi</t>
  </si>
  <si>
    <t>12:27.33</t>
  </si>
  <si>
    <t>35:29.70</t>
  </si>
  <si>
    <t>SAHIL SHARMA</t>
  </si>
  <si>
    <t>22.</t>
  </si>
  <si>
    <t>RAJASTHAN</t>
  </si>
  <si>
    <t>33:34.91</t>
  </si>
  <si>
    <t>shridharswim@gmail.com</t>
  </si>
  <si>
    <t>Akshath Sawant</t>
  </si>
  <si>
    <t>03:56.97</t>
  </si>
  <si>
    <t>01:46.51</t>
  </si>
  <si>
    <t>18:10.06</t>
  </si>
  <si>
    <t>01:14.33</t>
  </si>
  <si>
    <t>10:52.36</t>
  </si>
  <si>
    <t>36:00.24</t>
  </si>
  <si>
    <t>23.</t>
  </si>
  <si>
    <t>G Ramesh</t>
  </si>
  <si>
    <t>33:43.75</t>
  </si>
  <si>
    <t>NEERAJ KUMAR SAHU</t>
  </si>
  <si>
    <t>06:00.95</t>
  </si>
  <si>
    <t>02:17.62</t>
  </si>
  <si>
    <t>16:46.76</t>
  </si>
  <si>
    <t>01:20.12</t>
  </si>
  <si>
    <t>09:49.52</t>
  </si>
  <si>
    <t>Locomotor Disability</t>
  </si>
  <si>
    <t>36:14.99</t>
  </si>
  <si>
    <t>24.</t>
  </si>
  <si>
    <t>PARA (PTVI1) Male</t>
  </si>
  <si>
    <t>Rutuja Subhash mahangade</t>
  </si>
  <si>
    <t>Affan yarkhan</t>
  </si>
  <si>
    <t>04:35.56</t>
  </si>
  <si>
    <t>02:07.34</t>
  </si>
  <si>
    <t>15:48.73</t>
  </si>
  <si>
    <t>01:35.43</t>
  </si>
  <si>
    <t>13:05.32</t>
  </si>
  <si>
    <t>37:12.40</t>
  </si>
  <si>
    <t>25.</t>
  </si>
  <si>
    <t>Female</t>
  </si>
  <si>
    <t>mahangaderutuja@gmail.com</t>
  </si>
  <si>
    <t>Ananya Deshmukh</t>
  </si>
  <si>
    <t>06:32.68</t>
  </si>
  <si>
    <t>01:46.50</t>
  </si>
  <si>
    <t>16:05.83</t>
  </si>
  <si>
    <t>01:36.08</t>
  </si>
  <si>
    <t>11:39.33</t>
  </si>
  <si>
    <t>PTVI1</t>
  </si>
  <si>
    <t>37:40.44</t>
  </si>
  <si>
    <t>26.</t>
  </si>
  <si>
    <t>Surajbhan Meena</t>
  </si>
  <si>
    <t>38:48.67</t>
  </si>
  <si>
    <t>Shaunak Chandrakant Gaikwad</t>
  </si>
  <si>
    <t>04:47.97</t>
  </si>
  <si>
    <t>02:02.43</t>
  </si>
  <si>
    <t>17:49.25</t>
  </si>
  <si>
    <t>01:56.90</t>
  </si>
  <si>
    <t>12:50.24</t>
  </si>
  <si>
    <t>39:26.81</t>
  </si>
  <si>
    <t>27.</t>
  </si>
  <si>
    <t>Ravi N</t>
  </si>
  <si>
    <t>PARAPATI CHAITANYA</t>
  </si>
  <si>
    <t>ravidoddathalvar@gmail.com</t>
  </si>
  <si>
    <t>ANDHRA PRADESH</t>
  </si>
  <si>
    <t>MAIBAM KOROUNGANBA</t>
  </si>
  <si>
    <t>43:17.46</t>
  </si>
  <si>
    <t>05:00.34</t>
  </si>
  <si>
    <t>02:07.24</t>
  </si>
  <si>
    <t>16:56.21</t>
  </si>
  <si>
    <t>01:24.25</t>
  </si>
  <si>
    <t>14:43.11</t>
  </si>
  <si>
    <t>40:11.18</t>
  </si>
  <si>
    <t>28.</t>
  </si>
  <si>
    <t>Above Knee Amputee</t>
  </si>
  <si>
    <t>Aksh Chandrakar</t>
  </si>
  <si>
    <t>DELHI</t>
  </si>
  <si>
    <t>04:35.24</t>
  </si>
  <si>
    <t>54:25.21</t>
  </si>
  <si>
    <t>02:09.17</t>
  </si>
  <si>
    <t>18:33.89</t>
  </si>
  <si>
    <t>01:36.35</t>
  </si>
  <si>
    <t>13:41.15</t>
  </si>
  <si>
    <t>BALWANT SINGH RAWAT</t>
  </si>
  <si>
    <t>40:35.81</t>
  </si>
  <si>
    <t>29.</t>
  </si>
  <si>
    <t>balwantsinghrawat2014@gmail.com</t>
  </si>
  <si>
    <t>PARA (PTVI2_3) Male</t>
  </si>
  <si>
    <t>Kedar Kulkarni</t>
  </si>
  <si>
    <t>04:41.29</t>
  </si>
  <si>
    <t>01:49.07</t>
  </si>
  <si>
    <t>18:19.32</t>
  </si>
  <si>
    <t>02:10.24</t>
  </si>
  <si>
    <t>NO</t>
  </si>
  <si>
    <t>13:57.67</t>
  </si>
  <si>
    <t>40:57.61</t>
  </si>
  <si>
    <t>30.</t>
  </si>
  <si>
    <t>Ravindersingh Rukwal</t>
  </si>
  <si>
    <t>PTVI2_3</t>
  </si>
  <si>
    <t>Ravi.rukwal@gmail.com</t>
  </si>
  <si>
    <t>RITESH RAJENDRA KERE</t>
  </si>
  <si>
    <t>34:20.00</t>
  </si>
  <si>
    <t>SURYANSH SINGH</t>
  </si>
  <si>
    <t>04:10.79</t>
  </si>
  <si>
    <t>02:22.69</t>
  </si>
  <si>
    <t>NAGULA SURESH</t>
  </si>
  <si>
    <t>20:24.44</t>
  </si>
  <si>
    <t>01:44.46</t>
  </si>
  <si>
    <t>43:51.12</t>
  </si>
  <si>
    <t>Arti Limje</t>
  </si>
  <si>
    <t>15:18.06</t>
  </si>
  <si>
    <t>44:00.47</t>
  </si>
  <si>
    <t>artilimje@gmail.com</t>
  </si>
  <si>
    <t>31.</t>
  </si>
  <si>
    <t>DASARI BHARATH KUMAR</t>
  </si>
  <si>
    <t>Dhiren Ram Garladinne</t>
  </si>
  <si>
    <t>50:04.08</t>
  </si>
  <si>
    <t>06:06.94</t>
  </si>
  <si>
    <t>02:41.12</t>
  </si>
  <si>
    <t>19:14.04</t>
  </si>
  <si>
    <t>01:35.71</t>
  </si>
  <si>
    <t>16:05.69</t>
  </si>
  <si>
    <t>45:43.52</t>
  </si>
  <si>
    <t>32.</t>
  </si>
  <si>
    <t>PARA (PTWC) Male</t>
  </si>
  <si>
    <t>BANDARI SRI NAGA CHAITHANYA</t>
  </si>
  <si>
    <t>04:57.18</t>
  </si>
  <si>
    <t>03:01.16</t>
  </si>
  <si>
    <t>Manoj goman kataria</t>
  </si>
  <si>
    <t>17:03.43</t>
  </si>
  <si>
    <t>02:20.45</t>
  </si>
  <si>
    <t>manojkataria891@gmail.com</t>
  </si>
  <si>
    <t>21:31.14</t>
  </si>
  <si>
    <t>48:53.37</t>
  </si>
  <si>
    <t>33.</t>
  </si>
  <si>
    <t>Priyanshu karakoti</t>
  </si>
  <si>
    <t>26:30.15</t>
  </si>
  <si>
    <t>PTWC</t>
  </si>
  <si>
    <t>16:44.09</t>
  </si>
  <si>
    <t>01:22.75</t>
  </si>
  <si>
    <t>13:11.37</t>
  </si>
  <si>
    <t>Jagveer singh</t>
  </si>
  <si>
    <t>59:55.63</t>
  </si>
  <si>
    <t>34.</t>
  </si>
  <si>
    <t>36:08.08</t>
  </si>
  <si>
    <t>Sankalp Satish Botre</t>
  </si>
  <si>
    <t>RITESH SINGH AGGARWAL</t>
  </si>
  <si>
    <t>sankalpbotre@gmail.com</t>
  </si>
  <si>
    <t>03:44.37</t>
  </si>
  <si>
    <t>01:45.26</t>
  </si>
  <si>
    <t>15:13.66</t>
  </si>
  <si>
    <t>01:20.68</t>
  </si>
  <si>
    <t>09:29.27</t>
  </si>
  <si>
    <t>38:08.36</t>
  </si>
  <si>
    <t>Walking problem</t>
  </si>
  <si>
    <t>31:33.26</t>
  </si>
  <si>
    <t>DSQ</t>
  </si>
  <si>
    <t>Pravin Kumar</t>
  </si>
  <si>
    <t>Bihar</t>
  </si>
  <si>
    <t>pk12039@gmail.com</t>
  </si>
  <si>
    <t>Sumit Bandgar</t>
  </si>
  <si>
    <t>40:33.52</t>
  </si>
  <si>
    <t>04:41.71</t>
  </si>
  <si>
    <t>01:51.56</t>
  </si>
  <si>
    <t>15:19.69</t>
  </si>
  <si>
    <t>01:06.20</t>
  </si>
  <si>
    <t>08:46.62</t>
  </si>
  <si>
    <t>31:45.80</t>
  </si>
  <si>
    <t>Junior - Female</t>
  </si>
  <si>
    <t>Elangbam Naoboy Singh</t>
  </si>
  <si>
    <t>04:05.42</t>
  </si>
  <si>
    <t>01:14.55</t>
  </si>
  <si>
    <t>14:15.39</t>
  </si>
  <si>
    <t>01:18.49</t>
  </si>
  <si>
    <t/>
  </si>
  <si>
    <t>DNF</t>
  </si>
  <si>
    <t>KANHAIYA KUMAR</t>
  </si>
  <si>
    <t>BIHAR</t>
  </si>
  <si>
    <t>Aarav Sharma</t>
  </si>
  <si>
    <t>03:40.20</t>
  </si>
  <si>
    <t>kk9626963@gmail.com</t>
  </si>
  <si>
    <t>01:50.03</t>
  </si>
  <si>
    <t>TBC by Asia Tri</t>
  </si>
  <si>
    <t>02:40.38</t>
  </si>
  <si>
    <t>01:33.31</t>
  </si>
  <si>
    <t>08:02.54</t>
  </si>
  <si>
    <t>01:15.32</t>
  </si>
  <si>
    <t>07:41.44</t>
  </si>
  <si>
    <t>omprakashawasthi99@gmail.com</t>
  </si>
  <si>
    <t>not applicable</t>
  </si>
  <si>
    <t>16/08/2009</t>
  </si>
  <si>
    <t>02:23.58</t>
  </si>
  <si>
    <t>01:31.10</t>
  </si>
  <si>
    <t>08:08.73</t>
  </si>
  <si>
    <t>Nilesh Balu Gaikwad</t>
  </si>
  <si>
    <t>01:28.20</t>
  </si>
  <si>
    <t>07:42.58</t>
  </si>
  <si>
    <t>nilug7512@gmail.com</t>
  </si>
  <si>
    <t>02:21.99</t>
  </si>
  <si>
    <t>01:29.57</t>
  </si>
  <si>
    <t>08:10.80</t>
  </si>
  <si>
    <t>01:29.35</t>
  </si>
  <si>
    <t>08:03.18</t>
  </si>
  <si>
    <t>Vikas.Patil8049@gmail.com</t>
  </si>
  <si>
    <t>15/06/2009</t>
  </si>
  <si>
    <t>Sharvari Lalit Deokar</t>
  </si>
  <si>
    <t>03:03.89</t>
  </si>
  <si>
    <t>01:44.93</t>
  </si>
  <si>
    <t>08:56.64</t>
  </si>
  <si>
    <t>01:16.45</t>
  </si>
  <si>
    <t>NA</t>
  </si>
  <si>
    <t>06:43.50</t>
  </si>
  <si>
    <t>21:45.43</t>
  </si>
  <si>
    <t>nelshinong999@gmail.com</t>
  </si>
  <si>
    <t>29/03/2009</t>
  </si>
  <si>
    <t>Ramkaran Singh</t>
  </si>
  <si>
    <t>DIYAA G J</t>
  </si>
  <si>
    <t>02:41.77</t>
  </si>
  <si>
    <t>Junior - Male</t>
  </si>
  <si>
    <t>02:30.06</t>
  </si>
  <si>
    <t>ramkaran.singh90@gmail.com</t>
  </si>
  <si>
    <t>10:09.82</t>
  </si>
  <si>
    <t>01:17.96</t>
  </si>
  <si>
    <t>08:36.13</t>
  </si>
  <si>
    <t>25:15.75</t>
  </si>
  <si>
    <t>Aaradhya Deepak Dhage</t>
  </si>
  <si>
    <t>02:51.77</t>
  </si>
  <si>
    <t>01:48.42</t>
  </si>
  <si>
    <t>11:07.84</t>
  </si>
  <si>
    <t>01:39.68</t>
  </si>
  <si>
    <t>08:58.88</t>
  </si>
  <si>
    <t>26:26.61</t>
  </si>
  <si>
    <t>No requirement</t>
  </si>
  <si>
    <t>AMRUTA UTTAM JONDHALE</t>
  </si>
  <si>
    <t>03:04.62</t>
  </si>
  <si>
    <t>02:04.72</t>
  </si>
  <si>
    <t>11:37.72</t>
  </si>
  <si>
    <t>01:34.90</t>
  </si>
  <si>
    <t>08:28.51</t>
  </si>
  <si>
    <t>Ramesh Hembram</t>
  </si>
  <si>
    <t>26:50.49</t>
  </si>
  <si>
    <t>thokchomgautam1@gmail.com</t>
  </si>
  <si>
    <t>West Bengal</t>
  </si>
  <si>
    <t>rameshhembram44@gmail.com</t>
  </si>
  <si>
    <t>Anjali Swapnil Waghmare</t>
  </si>
  <si>
    <t>Pune</t>
  </si>
  <si>
    <t>02:41.40</t>
  </si>
  <si>
    <t>01:59.04</t>
  </si>
  <si>
    <t>12:06.39</t>
  </si>
  <si>
    <t>01:42.24</t>
  </si>
  <si>
    <t>08:38.72</t>
  </si>
  <si>
    <t>27:07.81</t>
  </si>
  <si>
    <t>Thrishini v</t>
  </si>
  <si>
    <t>silambamjeedesh@gmail.com</t>
  </si>
  <si>
    <t>04:29.63</t>
  </si>
  <si>
    <t>02:25.03</t>
  </si>
  <si>
    <t>10:27.21</t>
  </si>
  <si>
    <t>01:52.58</t>
  </si>
  <si>
    <t>08:02.52</t>
  </si>
  <si>
    <t>Alok Mondal</t>
  </si>
  <si>
    <t>27:16.98</t>
  </si>
  <si>
    <t>alokmondal1040@gmail.com</t>
  </si>
  <si>
    <t>Manasvi Dilip Sonawane</t>
  </si>
  <si>
    <t>02:35.74</t>
  </si>
  <si>
    <t>02:00.59</t>
  </si>
  <si>
    <t>11:18.90</t>
  </si>
  <si>
    <t>01:30.96</t>
  </si>
  <si>
    <t>leishangthemrebishan@gmail.com</t>
  </si>
  <si>
    <t>09:54.71</t>
  </si>
  <si>
    <t>27:20.93</t>
  </si>
  <si>
    <t>Dnyanada Deshpande</t>
  </si>
  <si>
    <t>Sub Junior Female</t>
  </si>
  <si>
    <t>02:34.72</t>
  </si>
  <si>
    <t>02:02.64</t>
  </si>
  <si>
    <t>Firoj Bari</t>
  </si>
  <si>
    <t>12:06.84</t>
  </si>
  <si>
    <t>01:38.55</t>
  </si>
  <si>
    <t>09:07.72</t>
  </si>
  <si>
    <t>miajosimuddin9418@gmail.com</t>
  </si>
  <si>
    <t>27:30.48</t>
  </si>
  <si>
    <t>R JENYA SRI</t>
  </si>
  <si>
    <t>02:58.93</t>
  </si>
  <si>
    <t>02:03.29</t>
  </si>
  <si>
    <t>10:19.78</t>
  </si>
  <si>
    <t>02:20.86</t>
  </si>
  <si>
    <t>11:06.54</t>
  </si>
  <si>
    <t>28:49.41</t>
  </si>
  <si>
    <t>Sub Junior</t>
  </si>
  <si>
    <t>Rutuja Jade</t>
  </si>
  <si>
    <t>Anabia Shaikh</t>
  </si>
  <si>
    <t>30:51.44</t>
  </si>
  <si>
    <t>03:03.44</t>
  </si>
  <si>
    <t>02:15.48</t>
  </si>
  <si>
    <t>11:35.75</t>
  </si>
  <si>
    <t>01:40.18</t>
  </si>
  <si>
    <t>10:31.39</t>
  </si>
  <si>
    <t>None</t>
  </si>
  <si>
    <t>29:06.26</t>
  </si>
  <si>
    <t>Arnab Saha</t>
  </si>
  <si>
    <t>Ishwari Kalmegh</t>
  </si>
  <si>
    <t>Savi Jayant Kulkarni</t>
  </si>
  <si>
    <t>iamarnabsaha2021@gmail.com</t>
  </si>
  <si>
    <t>32:53.26</t>
  </si>
  <si>
    <t>03:36.60</t>
  </si>
  <si>
    <t>02:30.05</t>
  </si>
  <si>
    <t>01:55.69</t>
  </si>
  <si>
    <t>09:51.22</t>
  </si>
  <si>
    <t>29:59.97</t>
  </si>
  <si>
    <t>Asmi Kataria</t>
  </si>
  <si>
    <t>Sharayu Kushal Chaudhari</t>
  </si>
  <si>
    <t>33:15.65</t>
  </si>
  <si>
    <t>03:04.06</t>
  </si>
  <si>
    <t>02:32.82</t>
  </si>
  <si>
    <t>13:11.74</t>
  </si>
  <si>
    <t>01:36.61</t>
  </si>
  <si>
    <t>11:08.94</t>
  </si>
  <si>
    <t>31:34.20</t>
  </si>
  <si>
    <t>Sub Junior Male</t>
  </si>
  <si>
    <t>Ujjwal Ghosh</t>
  </si>
  <si>
    <t>Sharanya Rajkumar Bejgamwar</t>
  </si>
  <si>
    <t>ghoshujjwal92@gmail.com</t>
  </si>
  <si>
    <t>02:59.45</t>
  </si>
  <si>
    <t>02:11.34</t>
  </si>
  <si>
    <t>13:42.24</t>
  </si>
  <si>
    <t>02:13.83</t>
  </si>
  <si>
    <t>11:33.74</t>
  </si>
  <si>
    <t>32:40.62</t>
  </si>
  <si>
    <t>Saumya Ankush Amle</t>
  </si>
  <si>
    <t>03:47.29</t>
  </si>
  <si>
    <t>02:21.83</t>
  </si>
  <si>
    <t>13:28.07</t>
  </si>
  <si>
    <t>02:04.04</t>
  </si>
  <si>
    <t>11:09.75</t>
  </si>
  <si>
    <t>Nongmaithem Dhananjoy Meitei</t>
  </si>
  <si>
    <t>32:50.99</t>
  </si>
  <si>
    <t>28:18.39</t>
  </si>
  <si>
    <t>MAGIZHMATHI K</t>
  </si>
  <si>
    <t>04:00.56</t>
  </si>
  <si>
    <t>02:35.94</t>
  </si>
  <si>
    <t>11:44.60</t>
  </si>
  <si>
    <t>02:14.84</t>
  </si>
  <si>
    <t>12:22.69</t>
  </si>
  <si>
    <t>32:58.65</t>
  </si>
  <si>
    <t>Varunraj dongale</t>
  </si>
  <si>
    <t>28:41.33</t>
  </si>
  <si>
    <t>Kavya Swapnil Waghmare</t>
  </si>
  <si>
    <t>03:02.36</t>
  </si>
  <si>
    <t>Tuntun kumar singh</t>
  </si>
  <si>
    <t>02:36.47</t>
  </si>
  <si>
    <t>17:06.55</t>
  </si>
  <si>
    <t>01:35.98</t>
  </si>
  <si>
    <t>tuntunsingh95859@gmail.com</t>
  </si>
  <si>
    <t>09:28.18</t>
  </si>
  <si>
    <t>33:49.57</t>
  </si>
  <si>
    <t>Meghraj dongale</t>
  </si>
  <si>
    <t>28:45.20</t>
  </si>
  <si>
    <t>Saee Renuka Nikhil Pokale</t>
  </si>
  <si>
    <t>03:35.55</t>
  </si>
  <si>
    <t>02:26.45</t>
  </si>
  <si>
    <t>13:08.69</t>
  </si>
  <si>
    <t>Locomotor disability</t>
  </si>
  <si>
    <t>02:00.18</t>
  </si>
  <si>
    <t>12:45.57</t>
  </si>
  <si>
    <t>16-19 (Amateurs) Female</t>
  </si>
  <si>
    <t>33:56.45</t>
  </si>
  <si>
    <t>Bipin majhi</t>
  </si>
  <si>
    <t>Manjeri Manish joshi</t>
  </si>
  <si>
    <t>Marashtra</t>
  </si>
  <si>
    <t>03:21.50</t>
  </si>
  <si>
    <t>02:43.29</t>
  </si>
  <si>
    <t>Odisha</t>
  </si>
  <si>
    <t>15:06.85</t>
  </si>
  <si>
    <t>bipinmajhi455@gmail.com</t>
  </si>
  <si>
    <t>02:23.47</t>
  </si>
  <si>
    <t>11:47.01</t>
  </si>
  <si>
    <t>35:22.13</t>
  </si>
  <si>
    <t>Siya Avinash khandelwal</t>
  </si>
  <si>
    <t>16-19 (Amateurs)</t>
  </si>
  <si>
    <t>04:33.59</t>
  </si>
  <si>
    <t>02:38.51</t>
  </si>
  <si>
    <t>14:06.59</t>
  </si>
  <si>
    <t>02:33.61</t>
  </si>
  <si>
    <t>13:24.60</t>
  </si>
  <si>
    <t>1:10:22.40</t>
  </si>
  <si>
    <t>37:16.91</t>
  </si>
  <si>
    <t>Confirmed</t>
  </si>
  <si>
    <t>VIC left fore arm with deformity left hand</t>
  </si>
  <si>
    <t>Pravin Bhosale</t>
  </si>
  <si>
    <t>Pravinbhosale775@gmail.com</t>
  </si>
  <si>
    <t>Prutha Kanitkar</t>
  </si>
  <si>
    <t>Shravani Rajendra jagtap</t>
  </si>
  <si>
    <t>1:11:37.19</t>
  </si>
  <si>
    <t>03:43.00</t>
  </si>
  <si>
    <t>03:18.09</t>
  </si>
  <si>
    <t>14:24.44</t>
  </si>
  <si>
    <t>02:11.90</t>
  </si>
  <si>
    <t>18:09.43</t>
  </si>
  <si>
    <t>rajendrajagtap001@gmail.com</t>
  </si>
  <si>
    <t>41:46.88</t>
  </si>
  <si>
    <t>02:20.79</t>
  </si>
  <si>
    <t>Penav Mota</t>
  </si>
  <si>
    <t>01:29.91</t>
  </si>
  <si>
    <t>07:37.77</t>
  </si>
  <si>
    <t>01:05.63</t>
  </si>
  <si>
    <t>Keerthi Srinivas</t>
  </si>
  <si>
    <t>penav.mota100@gmail.com</t>
  </si>
  <si>
    <t>06:01.45</t>
  </si>
  <si>
    <t>1:24:06.23</t>
  </si>
  <si>
    <t>savythadinesh@gmail.com</t>
  </si>
  <si>
    <t>21/7/2010</t>
  </si>
  <si>
    <t>02:17.88</t>
  </si>
  <si>
    <t>01:18.54</t>
  </si>
  <si>
    <t>08:11.48</t>
  </si>
  <si>
    <t>16-19 (Amateurs) Male</t>
  </si>
  <si>
    <t>01:24.80</t>
  </si>
  <si>
    <t>06:19.23</t>
  </si>
  <si>
    <t>Haryana</t>
  </si>
  <si>
    <t>grabbani0306@gmail.com</t>
  </si>
  <si>
    <t>01:24.45</t>
  </si>
  <si>
    <t>07:57.00</t>
  </si>
  <si>
    <t>01:26.59</t>
  </si>
  <si>
    <t>06:16.57</t>
  </si>
  <si>
    <t>No medical condition</t>
  </si>
  <si>
    <t>Zoran Sinclair</t>
  </si>
  <si>
    <t>Praveenkumar B</t>
  </si>
  <si>
    <t>02:33.58</t>
  </si>
  <si>
    <t>01:33.08</t>
  </si>
  <si>
    <t>07:51.73</t>
  </si>
  <si>
    <t>praveenchan8@gmail.com</t>
  </si>
  <si>
    <t>01:24.75</t>
  </si>
  <si>
    <t>1:00:41.43</t>
  </si>
  <si>
    <t>07:20.58</t>
  </si>
  <si>
    <t>20:43.74</t>
  </si>
  <si>
    <t>Aradhya Galgali</t>
  </si>
  <si>
    <t>02:33.56</t>
  </si>
  <si>
    <t>01:40.55</t>
  </si>
  <si>
    <t>07:57.66</t>
  </si>
  <si>
    <t>01:17.47</t>
  </si>
  <si>
    <t>07:23.69</t>
  </si>
  <si>
    <t>Sargam Bathre</t>
  </si>
  <si>
    <t>20:52.96</t>
  </si>
  <si>
    <t>1:03:12.00</t>
  </si>
  <si>
    <t>Nitin Rawat</t>
  </si>
  <si>
    <t>Qualified</t>
  </si>
  <si>
    <t>nitinrawat3177@gmail.com</t>
  </si>
  <si>
    <t>Aniket</t>
  </si>
  <si>
    <t>02:25.36</t>
  </si>
  <si>
    <t>02:11.56</t>
  </si>
  <si>
    <t>08:39.57</t>
  </si>
  <si>
    <t>01:31.45</t>
  </si>
  <si>
    <t>07:12.12</t>
  </si>
  <si>
    <t>22:00.08</t>
  </si>
  <si>
    <t>Chirag Nilesh Khokale</t>
  </si>
  <si>
    <t>02:34.50</t>
  </si>
  <si>
    <t>02:10.44</t>
  </si>
  <si>
    <t>yes</t>
  </si>
  <si>
    <t>08:54.40</t>
  </si>
  <si>
    <t>01:38.33</t>
  </si>
  <si>
    <t>Uday Haridas Jadhav</t>
  </si>
  <si>
    <t>07:12.92</t>
  </si>
  <si>
    <t>22:30.60</t>
  </si>
  <si>
    <t>1:06:07.26</t>
  </si>
  <si>
    <t>Praneth Adari</t>
  </si>
  <si>
    <t>Andhra Pradesh</t>
  </si>
  <si>
    <t>jadhavuday7777@gamil.com</t>
  </si>
  <si>
    <t>adarisujatha@email.com</t>
  </si>
  <si>
    <t>Aary Anup Dhotre</t>
  </si>
  <si>
    <t>03:20.57</t>
  </si>
  <si>
    <t>01:57.12</t>
  </si>
  <si>
    <t>09:36.92</t>
  </si>
  <si>
    <t>01:48.98</t>
  </si>
  <si>
    <t>06:45.13</t>
  </si>
  <si>
    <t>23:28.73</t>
  </si>
  <si>
    <t>Tanay Lodha</t>
  </si>
  <si>
    <t>20 -24 (Amateurs) Female</t>
  </si>
  <si>
    <t>02:50.85</t>
  </si>
  <si>
    <t>01:50.81</t>
  </si>
  <si>
    <t>10:48.78</t>
  </si>
  <si>
    <t>01:24.28</t>
  </si>
  <si>
    <t>07:14.33</t>
  </si>
  <si>
    <t>24:09.07</t>
  </si>
  <si>
    <t>Erbs palsy</t>
  </si>
  <si>
    <t>Adish Rajkumar Bejgamwar</t>
  </si>
  <si>
    <t>02:28.82</t>
  </si>
  <si>
    <t>01:52.78</t>
  </si>
  <si>
    <t>10:05.35</t>
  </si>
  <si>
    <t>ANIL KUMAR</t>
  </si>
  <si>
    <t>01:29.84</t>
  </si>
  <si>
    <t>08:54.78</t>
  </si>
  <si>
    <t>24:51.58</t>
  </si>
  <si>
    <t>anilkumardigha@gmail.com</t>
  </si>
  <si>
    <t>20 -24 (Amateurs)</t>
  </si>
  <si>
    <t>Ayush Vinod Shendkar</t>
  </si>
  <si>
    <t>Devika Sarma</t>
  </si>
  <si>
    <t>02:51.79</t>
  </si>
  <si>
    <t>1:19:43.88</t>
  </si>
  <si>
    <t>02:04.47</t>
  </si>
  <si>
    <t>09:35.71</t>
  </si>
  <si>
    <t>01:36.75</t>
  </si>
  <si>
    <t>09:08.16</t>
  </si>
  <si>
    <t>25:16.90</t>
  </si>
  <si>
    <t>devikasarma16@gmail.com</t>
  </si>
  <si>
    <t>Madhusudan Balaji kendre</t>
  </si>
  <si>
    <t>02:33.25</t>
  </si>
  <si>
    <t>OH</t>
  </si>
  <si>
    <t>02:13.30</t>
  </si>
  <si>
    <t>09:37.94</t>
  </si>
  <si>
    <t>01:38.05</t>
  </si>
  <si>
    <t>09:48.17</t>
  </si>
  <si>
    <t>Isha Bhagat</t>
  </si>
  <si>
    <t>25:50.72</t>
  </si>
  <si>
    <t>1:25:40.57</t>
  </si>
  <si>
    <t>OMPRAKASH YADAV</t>
  </si>
  <si>
    <t>rrsaswim@gmail.com</t>
  </si>
  <si>
    <t>Dev Gurudatt Gharat</t>
  </si>
  <si>
    <t>omprakashyadav9887281337@gmail.com</t>
  </si>
  <si>
    <t>03:10.18</t>
  </si>
  <si>
    <t>01:58.39</t>
  </si>
  <si>
    <t>09:53.09</t>
  </si>
  <si>
    <t>02:15.79</t>
  </si>
  <si>
    <t>08:36.89</t>
  </si>
  <si>
    <t>25:54.37</t>
  </si>
  <si>
    <t>Samarth Sandeep Bhilare</t>
  </si>
  <si>
    <t>03:12.90</t>
  </si>
  <si>
    <t>Balasiweor</t>
  </si>
  <si>
    <t>02:20.91</t>
  </si>
  <si>
    <t>Meghalaya</t>
  </si>
  <si>
    <t>10:21.29</t>
  </si>
  <si>
    <t>1:32:55.18</t>
  </si>
  <si>
    <t>01:50.01</t>
  </si>
  <si>
    <t>09:06.19</t>
  </si>
  <si>
    <t>PRAMODHA A S</t>
  </si>
  <si>
    <t>26:51.32</t>
  </si>
  <si>
    <t>balasiewdor21@gmail.com</t>
  </si>
  <si>
    <t>Pramod_ips20@yahoo.com</t>
  </si>
  <si>
    <t>Malahar sarang Ketkar</t>
  </si>
  <si>
    <t>03:17.26</t>
  </si>
  <si>
    <t>20 -24 (Amateurs) Male</t>
  </si>
  <si>
    <t>02:43.43</t>
  </si>
  <si>
    <t>09:01.13</t>
  </si>
  <si>
    <t>01:52.22</t>
  </si>
  <si>
    <t>10:19.40</t>
  </si>
  <si>
    <t>27:13.46</t>
  </si>
  <si>
    <t>I'm</t>
  </si>
  <si>
    <t>Aviram Ghose</t>
  </si>
  <si>
    <t>04:08.12</t>
  </si>
  <si>
    <t>02:18.51</t>
  </si>
  <si>
    <t>09:46.56</t>
  </si>
  <si>
    <t>02:00.51</t>
  </si>
  <si>
    <t>ramdasmeena13@gmail.com</t>
  </si>
  <si>
    <t>08:59.88</t>
  </si>
  <si>
    <t>27:13.59</t>
  </si>
  <si>
    <t>Namish Kulkarni</t>
  </si>
  <si>
    <t>Rajkumar Pawar</t>
  </si>
  <si>
    <t>03:17.01</t>
  </si>
  <si>
    <t>59:41.39</t>
  </si>
  <si>
    <t>02:18.27</t>
  </si>
  <si>
    <t>10:20.46</t>
  </si>
  <si>
    <t>01:29.66</t>
  </si>
  <si>
    <t>10:23.72</t>
  </si>
  <si>
    <t>rajkumarpawar1230@gmail.com</t>
  </si>
  <si>
    <t>27:49.15</t>
  </si>
  <si>
    <t>18/10/2001</t>
  </si>
  <si>
    <t>Atharv shahaji patil</t>
  </si>
  <si>
    <t>artho0910@gmail.com</t>
  </si>
  <si>
    <t>Parth Rajendra Ronge</t>
  </si>
  <si>
    <t>02:33.49</t>
  </si>
  <si>
    <t>02:07.79</t>
  </si>
  <si>
    <t>10:09.32</t>
  </si>
  <si>
    <t>Laksh</t>
  </si>
  <si>
    <t>02:14.28</t>
  </si>
  <si>
    <t>12:41.79</t>
  </si>
  <si>
    <t>1:06:48.56</t>
  </si>
  <si>
    <t>29:46.68</t>
  </si>
  <si>
    <t>lakshpjain49@gmail.com</t>
  </si>
  <si>
    <t>30/6/2005</t>
  </si>
  <si>
    <t>Viraj varsha ramdas kondhalkar</t>
  </si>
  <si>
    <t>Below elbow upper limb amputation</t>
  </si>
  <si>
    <t>03:09.64</t>
  </si>
  <si>
    <t>02:23.16</t>
  </si>
  <si>
    <t>10:53.75</t>
  </si>
  <si>
    <t>01:46.25</t>
  </si>
  <si>
    <t>11:45.33</t>
  </si>
  <si>
    <t>Tushar deka</t>
  </si>
  <si>
    <t>praveenvelagaleti783@gmail.com</t>
  </si>
  <si>
    <t>29:58.16</t>
  </si>
  <si>
    <t>1:07:02.90</t>
  </si>
  <si>
    <t>tritushar20@gmail.com</t>
  </si>
  <si>
    <t>20/12/2004</t>
  </si>
  <si>
    <t>Dhakshith Ajay kumar s</t>
  </si>
  <si>
    <t>02:19.93</t>
  </si>
  <si>
    <t>12:17.20</t>
  </si>
  <si>
    <t>02:03.94</t>
  </si>
  <si>
    <t>25-29 (Amateurs) Female</t>
  </si>
  <si>
    <t>10:32.83</t>
  </si>
  <si>
    <t>PARA RIGH FOOT ANKLE TWIST</t>
  </si>
  <si>
    <t>31:42.09</t>
  </si>
  <si>
    <t>PTVI</t>
  </si>
  <si>
    <t>Lakshan v</t>
  </si>
  <si>
    <t>rajkerepatil10@gmail.com</t>
  </si>
  <si>
    <t>05:20.38</t>
  </si>
  <si>
    <t>02:49.26</t>
  </si>
  <si>
    <t>10:59.70</t>
  </si>
  <si>
    <t>02:01.22</t>
  </si>
  <si>
    <t>10:33.35</t>
  </si>
  <si>
    <t>31:43.93</t>
  </si>
  <si>
    <t>Ruhan Siddanth A</t>
  </si>
  <si>
    <t>25-29 (Amateurs)</t>
  </si>
  <si>
    <t>Visual Impaired</t>
  </si>
  <si>
    <t>06:39.56</t>
  </si>
  <si>
    <t>Nupur Deka</t>
  </si>
  <si>
    <t>02:35.79</t>
  </si>
  <si>
    <t>08:32.51</t>
  </si>
  <si>
    <t>1:22:35.68</t>
  </si>
  <si>
    <t>02:47.08</t>
  </si>
  <si>
    <t>Purandar Rohidas</t>
  </si>
  <si>
    <t>11:27.15</t>
  </si>
  <si>
    <t>32:02.10</t>
  </si>
  <si>
    <t>Orissa</t>
  </si>
  <si>
    <t>nupurdeka2019new@gmail.com</t>
  </si>
  <si>
    <t>purandarrohidas4@gmail.com</t>
  </si>
  <si>
    <t>R JITHIN SAI</t>
  </si>
  <si>
    <t>03:18.97</t>
  </si>
  <si>
    <t>03:22.04</t>
  </si>
  <si>
    <t>11:54.33</t>
  </si>
  <si>
    <t>02:18.92</t>
  </si>
  <si>
    <t>13:02.71</t>
  </si>
  <si>
    <t>33:57.00</t>
  </si>
  <si>
    <t>Sumarbiang Mawlong</t>
  </si>
  <si>
    <t>Lower limb left weakness,calf muscles wasting.CTEV (LT)..</t>
  </si>
  <si>
    <t>Ridhan Swapnil patil</t>
  </si>
  <si>
    <t>1:32:44.31</t>
  </si>
  <si>
    <t>04:46.66</t>
  </si>
  <si>
    <t>03:42.75</t>
  </si>
  <si>
    <t>sumarmawlong225@gmail.com</t>
  </si>
  <si>
    <t>12:52.11</t>
  </si>
  <si>
    <t>Ajay Lalwani</t>
  </si>
  <si>
    <t>02:04.73</t>
  </si>
  <si>
    <t>11:57.53</t>
  </si>
  <si>
    <t>35:23.79</t>
  </si>
  <si>
    <t>ajaylalwani315@gmail.com</t>
  </si>
  <si>
    <t>06:48.18</t>
  </si>
  <si>
    <t>03:12.36</t>
  </si>
  <si>
    <t>19:02.62</t>
  </si>
  <si>
    <t>01:48.35</t>
  </si>
  <si>
    <t>Naphisabet Nongbet</t>
  </si>
  <si>
    <t>16:02.33</t>
  </si>
  <si>
    <t>Only visually impaired</t>
  </si>
  <si>
    <t>1:48:11.89</t>
  </si>
  <si>
    <t>naphisabetnongbet2@gmail.com</t>
  </si>
  <si>
    <t>Advait Vijay Katte</t>
  </si>
  <si>
    <t>30/7/1997</t>
  </si>
  <si>
    <t>vijaykatte@yahoo.co.in</t>
  </si>
  <si>
    <t>25-29 (Amateurs) Male</t>
  </si>
  <si>
    <t>drjagveersingh@gmail.com</t>
  </si>
  <si>
    <t>Virendra Pawar</t>
  </si>
  <si>
    <t>05:20.57</t>
  </si>
  <si>
    <t>02:44.92</t>
  </si>
  <si>
    <t>1:06:07.39</t>
  </si>
  <si>
    <t>18:31.96</t>
  </si>
  <si>
    <t>07:23.22</t>
  </si>
  <si>
    <t>Mild allergic asthmatic</t>
  </si>
  <si>
    <t>19:28.42</t>
  </si>
  <si>
    <t>89pawar89@gmail.com</t>
  </si>
  <si>
    <t>SAMMISHARMA7878@GMAIL.COM</t>
  </si>
  <si>
    <t>08:05.89</t>
  </si>
  <si>
    <t>Aditya Jitendra Desai</t>
  </si>
  <si>
    <t>07:03.35</t>
  </si>
  <si>
    <t>27:21.34</t>
  </si>
  <si>
    <t>06:28.09</t>
  </si>
  <si>
    <t>1:07:25.73</t>
  </si>
  <si>
    <t>55:58.01</t>
  </si>
  <si>
    <t>Not participating</t>
  </si>
  <si>
    <t>06:15.69</t>
  </si>
  <si>
    <t>03:01.88</t>
  </si>
  <si>
    <t>20:02.08</t>
  </si>
  <si>
    <t>adityadesai0603@gmail.com</t>
  </si>
  <si>
    <t>03:43.62</t>
  </si>
  <si>
    <t>13:54.85</t>
  </si>
  <si>
    <t>FULLY FIT AND FINE</t>
  </si>
  <si>
    <t>Yojit nallana</t>
  </si>
  <si>
    <t>yojitphotos@gmail.com</t>
  </si>
  <si>
    <t>Jalaj Arora</t>
  </si>
  <si>
    <t>05:14.66</t>
  </si>
  <si>
    <t>03:10.31</t>
  </si>
  <si>
    <t>22:49.48</t>
  </si>
  <si>
    <t>1:14:50.27</t>
  </si>
  <si>
    <t>01:59.16</t>
  </si>
  <si>
    <t>21:51.98</t>
  </si>
  <si>
    <t>jalajarora3@gmail.com</t>
  </si>
  <si>
    <t>13/6/1998</t>
  </si>
  <si>
    <t>NUTHANGI PARNIKA</t>
  </si>
  <si>
    <t>06:47.96</t>
  </si>
  <si>
    <t>02:22.56</t>
  </si>
  <si>
    <t>22:45.85</t>
  </si>
  <si>
    <t>01:33.12</t>
  </si>
  <si>
    <t>30-34 (Amateurs) Female</t>
  </si>
  <si>
    <t>17:40.82</t>
  </si>
  <si>
    <t>51:10.33</t>
  </si>
  <si>
    <t>04:05.63</t>
  </si>
  <si>
    <t>01:51.22</t>
  </si>
  <si>
    <t>16:13.48</t>
  </si>
  <si>
    <t>01:16.06</t>
  </si>
  <si>
    <t>09:14.72</t>
  </si>
  <si>
    <t>Senthil Nathan K</t>
  </si>
  <si>
    <t>04:21.52</t>
  </si>
  <si>
    <t>01:59.36</t>
  </si>
  <si>
    <t>senthilcse48@gmail.com</t>
  </si>
  <si>
    <t>16:20.58</t>
  </si>
  <si>
    <t>01:17.18</t>
  </si>
  <si>
    <t>09:36.26</t>
  </si>
  <si>
    <t>30-34 (Amateurs)</t>
  </si>
  <si>
    <t>Devika Patil</t>
  </si>
  <si>
    <t>05:07.39</t>
  </si>
  <si>
    <t>1:23:36.24</t>
  </si>
  <si>
    <t>01:50.79</t>
  </si>
  <si>
    <t>15:14.33</t>
  </si>
  <si>
    <t>02:15.97</t>
  </si>
  <si>
    <t>09:15.26</t>
  </si>
  <si>
    <t>docdevikapatil@gmail.com</t>
  </si>
  <si>
    <t>KARNATAKA</t>
  </si>
  <si>
    <t>03:53.74</t>
  </si>
  <si>
    <t>01:53.86</t>
  </si>
  <si>
    <t>16:41.02</t>
  </si>
  <si>
    <t>01:24.55</t>
  </si>
  <si>
    <t>11:39.55</t>
  </si>
  <si>
    <t>35:32.73</t>
  </si>
  <si>
    <t>30-34 (Amateurs) Male</t>
  </si>
  <si>
    <t>Sachin</t>
  </si>
  <si>
    <t>Krushna Babasaheb Tanpure</t>
  </si>
  <si>
    <t>09:51.80</t>
  </si>
  <si>
    <t>02:18.30</t>
  </si>
  <si>
    <t>16:25.80</t>
  </si>
  <si>
    <t>krishabtanpure@gmail.com</t>
  </si>
  <si>
    <t>00:59.39</t>
  </si>
  <si>
    <t>08:37.76</t>
  </si>
  <si>
    <t>38:13.07</t>
  </si>
  <si>
    <t>04:50.97</t>
  </si>
  <si>
    <t>02:12.90</t>
  </si>
  <si>
    <t>17:08.47</t>
  </si>
  <si>
    <t>01:35.59</t>
  </si>
  <si>
    <t>14:11.18</t>
  </si>
  <si>
    <t>39:59.13</t>
  </si>
  <si>
    <t>UTTRAKHAND</t>
  </si>
  <si>
    <t>Laikhuram Biten Singh</t>
  </si>
  <si>
    <t>06:33.05</t>
  </si>
  <si>
    <t>03:02.92</t>
  </si>
  <si>
    <t>19:58.30</t>
  </si>
  <si>
    <t>01:29.21</t>
  </si>
  <si>
    <t>1:00:14.69</t>
  </si>
  <si>
    <t>09:15.50</t>
  </si>
  <si>
    <t>40:19.00</t>
  </si>
  <si>
    <t>bitenari@gmail.com</t>
  </si>
  <si>
    <t>SIVAKUMAR</t>
  </si>
  <si>
    <t>sivachinnan8@gmail.com</t>
  </si>
  <si>
    <t>Ashish Kumar Singh</t>
  </si>
  <si>
    <t>04:06.36</t>
  </si>
  <si>
    <t>03:54.64</t>
  </si>
  <si>
    <t>17:32.22</t>
  </si>
  <si>
    <t>03:10.58</t>
  </si>
  <si>
    <t>11:44.62</t>
  </si>
  <si>
    <t>40:28.44</t>
  </si>
  <si>
    <t>Rohan kumar</t>
  </si>
  <si>
    <t>1:11:54.66</t>
  </si>
  <si>
    <t>canrohan70@gmail.com</t>
  </si>
  <si>
    <t>THIRUMALAI RAJA CHINNASAMY</t>
  </si>
  <si>
    <t>TAMILNADU</t>
  </si>
  <si>
    <t>mithrab7@gmail.com</t>
  </si>
  <si>
    <t>Omkar Jokar</t>
  </si>
  <si>
    <t>1:27:35.78</t>
  </si>
  <si>
    <t>05:29.42</t>
  </si>
  <si>
    <t>01:54.00</t>
  </si>
  <si>
    <t>17:43.29</t>
  </si>
  <si>
    <t>05:55.87</t>
  </si>
  <si>
    <t>09:33.40</t>
  </si>
  <si>
    <t>40:36.01</t>
  </si>
  <si>
    <t>omkarjokar@gmail.com</t>
  </si>
  <si>
    <t>26/3/1995</t>
  </si>
  <si>
    <t>06:20.81</t>
  </si>
  <si>
    <t>02:55.64</t>
  </si>
  <si>
    <t>17:53.50</t>
  </si>
  <si>
    <t>Swapnil basagare</t>
  </si>
  <si>
    <t>01:49.37</t>
  </si>
  <si>
    <t>11:40.73</t>
  </si>
  <si>
    <t>40:40.07</t>
  </si>
  <si>
    <t>35-39 (Amateurs) Female</t>
  </si>
  <si>
    <t>sbasagare@gmail.com</t>
  </si>
  <si>
    <t>ORISSA</t>
  </si>
  <si>
    <t>05:54.91</t>
  </si>
  <si>
    <t>02:24.39</t>
  </si>
  <si>
    <t>19:24.02</t>
  </si>
  <si>
    <t>01:16.60</t>
  </si>
  <si>
    <t>11:47.88</t>
  </si>
  <si>
    <t>40:47.81</t>
  </si>
  <si>
    <t>05:36.10</t>
  </si>
  <si>
    <t>02:26.68</t>
  </si>
  <si>
    <t>19:32.31</t>
  </si>
  <si>
    <t>01:19.55</t>
  </si>
  <si>
    <t>12:22.50</t>
  </si>
  <si>
    <t>41:17.16</t>
  </si>
  <si>
    <t>ADDADA MANVITH CHOWDARY</t>
  </si>
  <si>
    <t>35-39 (Amateurs)</t>
  </si>
  <si>
    <t>04:58.93</t>
  </si>
  <si>
    <t>02:25.38</t>
  </si>
  <si>
    <t>19:16.70</t>
  </si>
  <si>
    <t>Mebashisha Laitim Lyngdoh</t>
  </si>
  <si>
    <t>01:46.42</t>
  </si>
  <si>
    <t>14:50.95</t>
  </si>
  <si>
    <t>43:18.40</t>
  </si>
  <si>
    <t>1:44:03.10</t>
  </si>
  <si>
    <t>mebz21@gmail.com</t>
  </si>
  <si>
    <t>sachinpathan001@gmail.com</t>
  </si>
  <si>
    <t>K NARAYANSWAMY</t>
  </si>
  <si>
    <t>07:10.43</t>
  </si>
  <si>
    <t>02:51.75</t>
  </si>
  <si>
    <t>19:27.48</t>
  </si>
  <si>
    <t>35-39 (Amateurs) Male</t>
  </si>
  <si>
    <t>01:48.18</t>
  </si>
  <si>
    <t>12:58.38</t>
  </si>
  <si>
    <t>44:16.23</t>
  </si>
  <si>
    <t>04:32.11</t>
  </si>
  <si>
    <t>03:22.25</t>
  </si>
  <si>
    <t>19:55.20</t>
  </si>
  <si>
    <t>01:47.23</t>
  </si>
  <si>
    <t>15:18.71</t>
  </si>
  <si>
    <t>44:55.51</t>
  </si>
  <si>
    <t>06:19.90</t>
  </si>
  <si>
    <t>03:33.87</t>
  </si>
  <si>
    <t>18:56.43</t>
  </si>
  <si>
    <t>01:36.57</t>
  </si>
  <si>
    <t>14:33.86</t>
  </si>
  <si>
    <t>45:00.64</t>
  </si>
  <si>
    <t>nautiyalkapil007@gmail.com</t>
  </si>
  <si>
    <t>Saikhom Bishworjit Singh</t>
  </si>
  <si>
    <t>1:01:06.76</t>
  </si>
  <si>
    <t>10:09.96</t>
  </si>
  <si>
    <t>02:37.72</t>
  </si>
  <si>
    <t>17:35.61</t>
  </si>
  <si>
    <t>01:45.34</t>
  </si>
  <si>
    <t>bishworjitsaikhom123@gmail.com</t>
  </si>
  <si>
    <t>13:04.24</t>
  </si>
  <si>
    <t>45:12.88</t>
  </si>
  <si>
    <t>07:07.96</t>
  </si>
  <si>
    <t>02:42.52</t>
  </si>
  <si>
    <t>18:05.75</t>
  </si>
  <si>
    <t>02:34.35</t>
  </si>
  <si>
    <t>15:14.22</t>
  </si>
  <si>
    <t>45:44.82</t>
  </si>
  <si>
    <t>I have multiple disability having government medical certificate</t>
  </si>
  <si>
    <t>Ravi Teja Reddy Pullareddy</t>
  </si>
  <si>
    <t>1:19:20.85</t>
  </si>
  <si>
    <t>ODISHA</t>
  </si>
  <si>
    <t>Reddyravit@gmail.com</t>
  </si>
  <si>
    <t>07:48.30</t>
  </si>
  <si>
    <t>28/4/1991</t>
  </si>
  <si>
    <t>02:48.94</t>
  </si>
  <si>
    <t>gbinu35@gmail.com</t>
  </si>
  <si>
    <t>18:29.53</t>
  </si>
  <si>
    <t>06:36.00</t>
  </si>
  <si>
    <t>10:26.08</t>
  </si>
  <si>
    <t>46:08.87</t>
  </si>
  <si>
    <t>Pravin Gangode</t>
  </si>
  <si>
    <t>06:36.40</t>
  </si>
  <si>
    <t>03:02.52</t>
  </si>
  <si>
    <t>1:35:04.05</t>
  </si>
  <si>
    <t>21:35.14</t>
  </si>
  <si>
    <t>01:47.77</t>
  </si>
  <si>
    <t>15:04.55</t>
  </si>
  <si>
    <t>pgbmc11@gmail.com</t>
  </si>
  <si>
    <t>48:06.41</t>
  </si>
  <si>
    <t>19/7/1988</t>
  </si>
  <si>
    <t>04:22.61</t>
  </si>
  <si>
    <t>02:29.55</t>
  </si>
  <si>
    <t>18:57.67</t>
  </si>
  <si>
    <t>40-44 (Amateurs) Male</t>
  </si>
  <si>
    <t>02:24.85</t>
  </si>
  <si>
    <t>20:33.89</t>
  </si>
  <si>
    <t>48:48.60</t>
  </si>
  <si>
    <t>rameshjastinjai1990@gmail.com</t>
  </si>
  <si>
    <t>KALAISELVAN</t>
  </si>
  <si>
    <t>09:54.18</t>
  </si>
  <si>
    <t>03:33.46</t>
  </si>
  <si>
    <t>21:56.96</t>
  </si>
  <si>
    <t>02:00.46</t>
  </si>
  <si>
    <t>13:12.61</t>
  </si>
  <si>
    <t>50:37.69</t>
  </si>
  <si>
    <t>WEST BENGAL</t>
  </si>
  <si>
    <t>07:07.34</t>
  </si>
  <si>
    <t>02:58.55</t>
  </si>
  <si>
    <t>20:09.61</t>
  </si>
  <si>
    <t>02:12.24</t>
  </si>
  <si>
    <t>19:49.78</t>
  </si>
  <si>
    <t>52:17.55</t>
  </si>
  <si>
    <t>FIT</t>
  </si>
  <si>
    <t>40-44 (Amateurs)</t>
  </si>
  <si>
    <t>Ngangom Dewanjit Singh</t>
  </si>
  <si>
    <t>1:18:04.01</t>
  </si>
  <si>
    <t>08:36.55</t>
  </si>
  <si>
    <t>03:37.40</t>
  </si>
  <si>
    <t>ashishsingh25365@gmail.com</t>
  </si>
  <si>
    <t>20:57.08</t>
  </si>
  <si>
    <t>dewanjitmeitei@gmail.com</t>
  </si>
  <si>
    <t>02:26.91</t>
  </si>
  <si>
    <t>18:20.90</t>
  </si>
  <si>
    <t>53:58.84</t>
  </si>
  <si>
    <t>07:47.76</t>
  </si>
  <si>
    <t>02:39.02</t>
  </si>
  <si>
    <t>24:02.42</t>
  </si>
  <si>
    <t>01:53.08</t>
  </si>
  <si>
    <t>19:56.34</t>
  </si>
  <si>
    <t>Dr Ardonister Lyngdoh</t>
  </si>
  <si>
    <t>56:18.63</t>
  </si>
  <si>
    <t>1:22:13.10</t>
  </si>
  <si>
    <t>ardo.lyngdoh@gmail.com</t>
  </si>
  <si>
    <t>18/4/1985</t>
  </si>
  <si>
    <t>12:31.37</t>
  </si>
  <si>
    <t>05:31.16</t>
  </si>
  <si>
    <t>18:49.35</t>
  </si>
  <si>
    <t>03:47.92</t>
  </si>
  <si>
    <t>myself.shashruti.2324@gmail.com</t>
  </si>
  <si>
    <t>17:09.95</t>
  </si>
  <si>
    <t>57:49.77</t>
  </si>
  <si>
    <t>AMIT KUMAR SINGH</t>
  </si>
  <si>
    <t>05:06.51</t>
  </si>
  <si>
    <t>03:32.99</t>
  </si>
  <si>
    <t>20:50.21</t>
  </si>
  <si>
    <t>1:27:01.62</t>
  </si>
  <si>
    <t>04:14.64</t>
  </si>
  <si>
    <t>26:31.13</t>
  </si>
  <si>
    <t>1:00:15.50</t>
  </si>
  <si>
    <t>amitdeepsingh86@gmail.com</t>
  </si>
  <si>
    <t>12:53.15</t>
  </si>
  <si>
    <t>11:40.59</t>
  </si>
  <si>
    <t>16-07-2014</t>
  </si>
  <si>
    <t>20:53.04</t>
  </si>
  <si>
    <t>FEMALE</t>
  </si>
  <si>
    <t>03:11.07</t>
  </si>
  <si>
    <t>45-49 (Amateurs) Male</t>
  </si>
  <si>
    <t>23:56.01</t>
  </si>
  <si>
    <t>1:12:33.87</t>
  </si>
  <si>
    <r>
      <rPr>
        <u/>
        <sz val="11"/>
        <color rgb="FF1155CC"/>
        <rFont val="Calibri"/>
      </rPr>
      <t>apparasports@gmail.com</t>
    </r>
  </si>
  <si>
    <t>17:01.69</t>
  </si>
  <si>
    <t>07:29.48</t>
  </si>
  <si>
    <t>21:05.03</t>
  </si>
  <si>
    <t>03:16.81</t>
  </si>
  <si>
    <t>28:47.86</t>
  </si>
  <si>
    <t>1:17:40.90</t>
  </si>
  <si>
    <t>05:50.60</t>
  </si>
  <si>
    <t>03:45.97</t>
  </si>
  <si>
    <t>31:19.75</t>
  </si>
  <si>
    <t>1:08:44.78</t>
  </si>
  <si>
    <t>45-49 (Amateurs)</t>
  </si>
  <si>
    <t>Krishnat Sonmale</t>
  </si>
  <si>
    <t>1:11:33.19</t>
  </si>
  <si>
    <t>09:39.60</t>
  </si>
  <si>
    <t>03:38.24</t>
  </si>
  <si>
    <t>krishnasonmale0987@gmail.com</t>
  </si>
  <si>
    <t>04:12.77</t>
  </si>
  <si>
    <t>01:49.88</t>
  </si>
  <si>
    <t>19:40.26</t>
  </si>
  <si>
    <t>01:16.69</t>
  </si>
  <si>
    <t>11:49.05</t>
  </si>
  <si>
    <t>Deepender Singh</t>
  </si>
  <si>
    <t>1:29:28.69</t>
  </si>
  <si>
    <t>deepsingh81@gmail.com</t>
  </si>
  <si>
    <t>05:45.46</t>
  </si>
  <si>
    <t>04:47.24</t>
  </si>
  <si>
    <t>18:21.89</t>
  </si>
  <si>
    <t>S</t>
  </si>
  <si>
    <t>02:23.26</t>
  </si>
  <si>
    <t>ORTHO</t>
  </si>
  <si>
    <t>11:59.59</t>
  </si>
  <si>
    <t>PATTIGULLA HEMAVATHI</t>
  </si>
  <si>
    <t>Mahesh Sawata Khetmalis</t>
  </si>
  <si>
    <t>08:21.81</t>
  </si>
  <si>
    <t>1:42:47.40</t>
  </si>
  <si>
    <t>03:54.27</t>
  </si>
  <si>
    <r>
      <rPr>
        <u/>
        <sz val="11"/>
        <color rgb="FF1155CC"/>
        <rFont val="Calibri"/>
      </rPr>
      <t>apparasports@gmail.com</t>
    </r>
  </si>
  <si>
    <t>22:32.48</t>
  </si>
  <si>
    <t>02:54.02</t>
  </si>
  <si>
    <t>16:42.62</t>
  </si>
  <si>
    <t>maheshfitpro@gmail.com</t>
  </si>
  <si>
    <t>L</t>
  </si>
  <si>
    <t>OTHO</t>
  </si>
  <si>
    <t>50-54 (Amateurs) Male</t>
  </si>
  <si>
    <t>07:47.54</t>
  </si>
  <si>
    <t>02:43.06</t>
  </si>
  <si>
    <t>18:16.02</t>
  </si>
  <si>
    <t>01:59.93</t>
  </si>
  <si>
    <t>14:40.05</t>
  </si>
  <si>
    <t>29-10-2013</t>
  </si>
  <si>
    <t>45:26.61</t>
  </si>
  <si>
    <t>MALE</t>
  </si>
  <si>
    <r>
      <rPr>
        <u/>
        <sz val="11"/>
        <color rgb="FF1155CC"/>
        <rFont val="Calibri"/>
      </rPr>
      <t>apparasports@gmail.com</t>
    </r>
  </si>
  <si>
    <t>13:30.26</t>
  </si>
  <si>
    <t>04:24.58</t>
  </si>
  <si>
    <t>14:25.39</t>
  </si>
  <si>
    <t>46:46.53</t>
  </si>
  <si>
    <t>50-54 (Amateurs)</t>
  </si>
  <si>
    <t>POTNURU SATVIK</t>
  </si>
  <si>
    <t>PRANAY DWIVEDI</t>
  </si>
  <si>
    <t>22-10-2014</t>
  </si>
  <si>
    <t>04:04.56</t>
  </si>
  <si>
    <t>1:36:19.82</t>
  </si>
  <si>
    <r>
      <rPr>
        <u/>
        <sz val="11"/>
        <color rgb="FF1155CC"/>
        <rFont val="Calibri"/>
      </rPr>
      <t>apparasports@gmail.com</t>
    </r>
  </si>
  <si>
    <t>01:13.83</t>
  </si>
  <si>
    <t>10:47.15</t>
  </si>
  <si>
    <t>jpranayd@gmail.com</t>
  </si>
  <si>
    <t>XS</t>
  </si>
  <si>
    <t>VI</t>
  </si>
  <si>
    <t>05:17.57</t>
  </si>
  <si>
    <t>19-11-2010</t>
  </si>
  <si>
    <t>03:31.72</t>
  </si>
  <si>
    <t>21:57.58</t>
  </si>
  <si>
    <t>01:55.77</t>
  </si>
  <si>
    <r>
      <rPr>
        <u/>
        <sz val="11"/>
        <color rgb="FF1155CC"/>
        <rFont val="Calibri"/>
      </rPr>
      <t>apparasports@gmail.com</t>
    </r>
  </si>
  <si>
    <t>11:08.46</t>
  </si>
  <si>
    <t>Neelesh Hattarki</t>
  </si>
  <si>
    <t>1:39:05.48</t>
  </si>
  <si>
    <t>06:46.83</t>
  </si>
  <si>
    <t>03:49.10</t>
  </si>
  <si>
    <t>neelhat123@gmail.com</t>
  </si>
  <si>
    <t>19:56.07</t>
  </si>
  <si>
    <t>01:55.94</t>
  </si>
  <si>
    <t>17/5/1975</t>
  </si>
  <si>
    <t>17:36.11</t>
  </si>
  <si>
    <r>
      <rPr>
        <u/>
        <sz val="11"/>
        <color rgb="FF1155CC"/>
        <rFont val="Calibri"/>
      </rPr>
      <t>apparasports@gmail.com</t>
    </r>
  </si>
  <si>
    <t>DASARI RAJESH</t>
  </si>
  <si>
    <t>55-59 (Amateurs) Male</t>
  </si>
  <si>
    <t>06:48.69</t>
  </si>
  <si>
    <t>03:07.37</t>
  </si>
  <si>
    <t>27:30.36</t>
  </si>
  <si>
    <t>12:03.90</t>
  </si>
  <si>
    <t>51:26.28</t>
  </si>
  <si>
    <t>12:17.48</t>
  </si>
  <si>
    <t>VALASANAINI RAVI KUMAR</t>
  </si>
  <si>
    <t>03:01.58</t>
  </si>
  <si>
    <t>14-02-2011</t>
  </si>
  <si>
    <t>22:15.91</t>
  </si>
  <si>
    <t>02:20.39</t>
  </si>
  <si>
    <t>12:11.18</t>
  </si>
  <si>
    <t>52:06.55</t>
  </si>
  <si>
    <r>
      <rPr>
        <u/>
        <sz val="11"/>
        <color rgb="FF1155CC"/>
        <rFont val="Calibri"/>
      </rPr>
      <t>apparasports@gmail.com</t>
    </r>
  </si>
  <si>
    <t>55-59 (Amateurs)</t>
  </si>
  <si>
    <t>12:38.91</t>
  </si>
  <si>
    <t>02:44.15</t>
  </si>
  <si>
    <t>Hamiwell marwein</t>
  </si>
  <si>
    <t>1:27:52.12</t>
  </si>
  <si>
    <t>31:39.42</t>
  </si>
  <si>
    <t>02:43.03</t>
  </si>
  <si>
    <t>16:48.26</t>
  </si>
  <si>
    <t>1:06:33.77</t>
  </si>
  <si>
    <t>hjmarwein@gmail.com</t>
  </si>
  <si>
    <r>
      <rPr>
        <u/>
        <sz val="11"/>
        <color rgb="FF1155CC"/>
        <rFont val="Calibri"/>
      </rPr>
      <t>apparasports@gmail.com</t>
    </r>
  </si>
  <si>
    <t>24:19.13</t>
  </si>
  <si>
    <t>04:26.13</t>
  </si>
  <si>
    <t>21:45.99</t>
  </si>
  <si>
    <t>02:07.80</t>
  </si>
  <si>
    <t>17:06.41</t>
  </si>
  <si>
    <t>1:09:45.48</t>
  </si>
  <si>
    <t>Vishnu Tamhane</t>
  </si>
  <si>
    <t>1:32:35.91</t>
  </si>
  <si>
    <t>20-04-2005</t>
  </si>
  <si>
    <t>tamhanegaurang@gmail.com</t>
  </si>
  <si>
    <t>05:19.58</t>
  </si>
  <si>
    <t>02:55.20</t>
  </si>
  <si>
    <r>
      <rPr>
        <u/>
        <sz val="11"/>
        <color rgb="FF1155CC"/>
        <rFont val="Calibri"/>
      </rPr>
      <t>apparasports@gmail.com</t>
    </r>
  </si>
  <si>
    <t>20:41.95</t>
  </si>
  <si>
    <t>01:38.95</t>
  </si>
  <si>
    <t>10:03.88</t>
  </si>
  <si>
    <t>40:39.59</t>
  </si>
  <si>
    <t>60+ (Amateurs) Male</t>
  </si>
  <si>
    <t>08:02.61</t>
  </si>
  <si>
    <t>NAGULA ANKITH</t>
  </si>
  <si>
    <t>17-02-2010</t>
  </si>
  <si>
    <r>
      <rPr>
        <u/>
        <sz val="11"/>
        <color rgb="FF1155CC"/>
        <rFont val="Calibri"/>
      </rPr>
      <t>apparasports@gmail.com</t>
    </r>
  </si>
  <si>
    <t>10:19.52</t>
  </si>
  <si>
    <t>01:28.40</t>
  </si>
  <si>
    <t>16:02.61</t>
  </si>
  <si>
    <t>00:47.32</t>
  </si>
  <si>
    <t>07:30.22</t>
  </si>
  <si>
    <t>KARANAM GOWTHAM</t>
  </si>
  <si>
    <t>60+ (Amateurs)</t>
  </si>
  <si>
    <t>20-07-2008</t>
  </si>
  <si>
    <t>05:20.46</t>
  </si>
  <si>
    <t>01:52.63</t>
  </si>
  <si>
    <t>Subhash Nirmale</t>
  </si>
  <si>
    <t>20:43.53</t>
  </si>
  <si>
    <t>00:45.59</t>
  </si>
  <si>
    <r>
      <rPr>
        <u/>
        <sz val="11"/>
        <color rgb="FF1155CC"/>
        <rFont val="Calibri"/>
      </rPr>
      <t>apparasports@gmail.com</t>
    </r>
  </si>
  <si>
    <t>09:26.12</t>
  </si>
  <si>
    <t>1:23:33.99</t>
  </si>
  <si>
    <t>nirmaleacademy@gmail.com</t>
  </si>
  <si>
    <t>08:31.67</t>
  </si>
  <si>
    <t>01:41.84</t>
  </si>
  <si>
    <t>21:04.66</t>
  </si>
  <si>
    <t>00:46.94</t>
  </si>
  <si>
    <t>08:28.39</t>
  </si>
  <si>
    <t>V KRANTI KUMAR</t>
  </si>
  <si>
    <t>29-03-1999</t>
  </si>
  <si>
    <t>DEVENDRA GHANTA</t>
  </si>
  <si>
    <r>
      <rPr>
        <u/>
        <sz val="11"/>
        <color rgb="FF1155CC"/>
        <rFont val="Calibri"/>
      </rPr>
      <t>apparasports@gmail.com</t>
    </r>
  </si>
  <si>
    <t>04:20.38</t>
  </si>
  <si>
    <t>02:15.04</t>
  </si>
  <si>
    <t>17:16.33</t>
  </si>
  <si>
    <t>01:52.36</t>
  </si>
  <si>
    <t>15:02.41</t>
  </si>
  <si>
    <t>40:46.54</t>
  </si>
  <si>
    <t>P VIJAYAKUMAR</t>
  </si>
  <si>
    <t>22-05-1995</t>
  </si>
  <si>
    <t>06:41.60</t>
  </si>
  <si>
    <t>01:30.53</t>
  </si>
  <si>
    <t>24:20.49</t>
  </si>
  <si>
    <t>00:48.24</t>
  </si>
  <si>
    <r>
      <rPr>
        <u/>
        <sz val="11"/>
        <color rgb="FF1155CC"/>
        <rFont val="Calibri"/>
      </rPr>
      <t>apparasports@gmail.com</t>
    </r>
  </si>
  <si>
    <t>12:08.42</t>
  </si>
  <si>
    <t>45:29.31</t>
  </si>
  <si>
    <t>04:34.40</t>
  </si>
  <si>
    <t>02:54.83</t>
  </si>
  <si>
    <t>20-06-1987</t>
  </si>
  <si>
    <t>40:22.39</t>
  </si>
  <si>
    <r>
      <rPr>
        <u/>
        <sz val="11"/>
        <color rgb="FF1155CC"/>
        <rFont val="Calibri"/>
      </rPr>
      <t>apparasports@gmail.com</t>
    </r>
  </si>
  <si>
    <t>30/4/1966</t>
  </si>
  <si>
    <t>XL</t>
  </si>
  <si>
    <t>03:50.42</t>
  </si>
  <si>
    <t>01:15.04</t>
  </si>
  <si>
    <t>15:08.70</t>
  </si>
  <si>
    <t>01:15.09</t>
  </si>
  <si>
    <t>09:22.17</t>
  </si>
  <si>
    <t>Senior (18+) Female</t>
  </si>
  <si>
    <t>BALAGA GANESH</t>
  </si>
  <si>
    <r>
      <rPr>
        <u/>
        <sz val="11"/>
        <color rgb="FF1155CC"/>
        <rFont val="Calibri"/>
      </rPr>
      <t>apparasports@gmail.com</t>
    </r>
  </si>
  <si>
    <t>04:03.85</t>
  </si>
  <si>
    <t>01:26.01</t>
  </si>
  <si>
    <t>15:37.06</t>
  </si>
  <si>
    <t>01:45.28</t>
  </si>
  <si>
    <t>10:01.05</t>
  </si>
  <si>
    <t>ADARI PRANEETH</t>
  </si>
  <si>
    <t>21-04-2005</t>
  </si>
  <si>
    <t>04:07.08</t>
  </si>
  <si>
    <r>
      <rPr>
        <u/>
        <sz val="11"/>
        <color rgb="FF1155CC"/>
        <rFont val="Calibri"/>
      </rPr>
      <t>apparasports@gmail.com</t>
    </r>
  </si>
  <si>
    <t>01:41.69</t>
  </si>
  <si>
    <t>15:44.99</t>
  </si>
  <si>
    <t>01:15.26</t>
  </si>
  <si>
    <t>10:26.63</t>
  </si>
  <si>
    <t>Saanvi Maiti</t>
  </si>
  <si>
    <t>GORLE SUMANTH KUMAR</t>
  </si>
  <si>
    <t>04:34.25</t>
  </si>
  <si>
    <t>25-09-2007</t>
  </si>
  <si>
    <t>02:13.61</t>
  </si>
  <si>
    <t>18:34.65</t>
  </si>
  <si>
    <t>01:28.53</t>
  </si>
  <si>
    <r>
      <rPr>
        <u/>
        <sz val="11"/>
        <color rgb="FF1155CC"/>
        <rFont val="Calibri"/>
      </rPr>
      <t>apparasports@gmail.com</t>
    </r>
  </si>
  <si>
    <t>11:45.98</t>
  </si>
  <si>
    <t>38:37.04</t>
  </si>
  <si>
    <t>Janhavi Pandurang Mohangekar</t>
  </si>
  <si>
    <t>04:25.78</t>
  </si>
  <si>
    <t>01:31.36</t>
  </si>
  <si>
    <t>16:23.20</t>
  </si>
  <si>
    <t>05:29.07</t>
  </si>
  <si>
    <t>10:55.12</t>
  </si>
  <si>
    <t>Senior (18+)</t>
  </si>
  <si>
    <t>38:44.55</t>
  </si>
  <si>
    <t>SALADI MURALI</t>
  </si>
  <si>
    <t>Anushka Hingankar</t>
  </si>
  <si>
    <t>29-11-2008</t>
  </si>
  <si>
    <t>Keerthi Sakthivel</t>
  </si>
  <si>
    <t>05:23.65</t>
  </si>
  <si>
    <t>01:40.63</t>
  </si>
  <si>
    <t>15:50.36</t>
  </si>
  <si>
    <t>05:33.68</t>
  </si>
  <si>
    <t>10:56.20</t>
  </si>
  <si>
    <t>39:24.53</t>
  </si>
  <si>
    <t>1:03:35.04</t>
  </si>
  <si>
    <r>
      <rPr>
        <u/>
        <sz val="11"/>
        <color rgb="FF1155CC"/>
        <rFont val="Calibri"/>
      </rPr>
      <t>apparasports@gmail.com</t>
    </r>
  </si>
  <si>
    <t>Madhura Mallya</t>
  </si>
  <si>
    <t>03:53.26</t>
  </si>
  <si>
    <t>01:56.51</t>
  </si>
  <si>
    <t>16:39.89</t>
  </si>
  <si>
    <t>05:49.74</t>
  </si>
  <si>
    <t>11:21.49</t>
  </si>
  <si>
    <t>39:40.90</t>
  </si>
  <si>
    <t>Govt funded</t>
  </si>
  <si>
    <t>Arohi Karki</t>
  </si>
  <si>
    <t>05:27.20</t>
  </si>
  <si>
    <t>02:08.28</t>
  </si>
  <si>
    <t>20:11.82</t>
  </si>
  <si>
    <t>01:54.27</t>
  </si>
  <si>
    <t>KOTYADA RAMU</t>
  </si>
  <si>
    <t>13:52.14</t>
  </si>
  <si>
    <t>43:33.73</t>
  </si>
  <si>
    <r>
      <rPr>
        <u/>
        <sz val="11"/>
        <color rgb="FF1155CC"/>
        <rFont val="Calibri"/>
      </rPr>
      <t>apparasports@gmail.com</t>
    </r>
  </si>
  <si>
    <t>sakthivels241974@gmail.com</t>
  </si>
  <si>
    <t>Swara Bagla</t>
  </si>
  <si>
    <t>28/11/2007</t>
  </si>
  <si>
    <t>04:34.35</t>
  </si>
  <si>
    <t>02:24.72</t>
  </si>
  <si>
    <t>20:01.63</t>
  </si>
  <si>
    <t>01:51.99</t>
  </si>
  <si>
    <t>18:18.62</t>
  </si>
  <si>
    <t>47:11.31</t>
  </si>
  <si>
    <t>GANTA BABU RAO</t>
  </si>
  <si>
    <t>Aanya Sangwan</t>
  </si>
  <si>
    <r>
      <rPr>
        <u/>
        <sz val="11"/>
        <color rgb="FF1155CC"/>
        <rFont val="Calibri"/>
      </rPr>
      <t>apparasports@gmail.com</t>
    </r>
  </si>
  <si>
    <t>04:47.48</t>
  </si>
  <si>
    <t>02:14.16</t>
  </si>
  <si>
    <t>20:52.70</t>
  </si>
  <si>
    <t>01:56.93</t>
  </si>
  <si>
    <t>17:35.32</t>
  </si>
  <si>
    <t>47:26.60</t>
  </si>
  <si>
    <t>Dolly Patil</t>
  </si>
  <si>
    <t>1:04:17.17</t>
  </si>
  <si>
    <t>KOYYA MAHESH</t>
  </si>
  <si>
    <t>14-11-2005</t>
  </si>
  <si>
    <t>NAVATHE MEGHANA</t>
  </si>
  <si>
    <t>patildolly2006@gmail.com</t>
  </si>
  <si>
    <t>06:01.15</t>
  </si>
  <si>
    <r>
      <rPr>
        <u/>
        <sz val="11"/>
        <color rgb="FF1155CC"/>
        <rFont val="Calibri"/>
      </rPr>
      <t>apparasports@gmail.com</t>
    </r>
  </si>
  <si>
    <t>29/3/2006</t>
  </si>
  <si>
    <t>02:22.62</t>
  </si>
  <si>
    <t>21:00.13</t>
  </si>
  <si>
    <t>01:44.18</t>
  </si>
  <si>
    <t>17:14.32</t>
  </si>
  <si>
    <t>48:22.41</t>
  </si>
  <si>
    <t>Swara Suyog Shaha</t>
  </si>
  <si>
    <t>05:29.37</t>
  </si>
  <si>
    <t>02:29.66</t>
  </si>
  <si>
    <t>Yojit Nallana</t>
  </si>
  <si>
    <t>20:56.01</t>
  </si>
  <si>
    <t>Mansi Mohite</t>
  </si>
  <si>
    <t>02:03.27</t>
  </si>
  <si>
    <t>18:28.81</t>
  </si>
  <si>
    <t>1:05:39.85</t>
  </si>
  <si>
    <t>49:27.14</t>
  </si>
  <si>
    <t>15/05/2006</t>
  </si>
  <si>
    <t>mansimohite029@gmail.com</t>
  </si>
  <si>
    <t>PTS</t>
  </si>
  <si>
    <t>20/10/2003</t>
  </si>
  <si>
    <t xml:space="preserve">Karnataka </t>
  </si>
  <si>
    <t>Deeksha</t>
  </si>
  <si>
    <t>Tamil nadu</t>
  </si>
  <si>
    <t>05:23.31</t>
  </si>
  <si>
    <t>02:26.60</t>
  </si>
  <si>
    <t>21:26.80</t>
  </si>
  <si>
    <t>01:43.21</t>
  </si>
  <si>
    <t>19:48.81</t>
  </si>
  <si>
    <t>50:48.74</t>
  </si>
  <si>
    <t>Senior (18+) Male</t>
  </si>
  <si>
    <t>Ojaswi Prasad Kulkarni</t>
  </si>
  <si>
    <t>01:30.22</t>
  </si>
  <si>
    <t>15:52.91</t>
  </si>
  <si>
    <t>01:22.29</t>
  </si>
  <si>
    <t>11:03.56</t>
  </si>
  <si>
    <t>33:47.43</t>
  </si>
  <si>
    <t>03:20.73</t>
  </si>
  <si>
    <t>01:15.67</t>
  </si>
  <si>
    <t>14:17.45</t>
  </si>
  <si>
    <t>00:59.37</t>
  </si>
  <si>
    <t>08:25.16</t>
  </si>
  <si>
    <t>03:24.47</t>
  </si>
  <si>
    <t>01:07.86</t>
  </si>
  <si>
    <t>14:41.00</t>
  </si>
  <si>
    <t>01:04.05</t>
  </si>
  <si>
    <t>08:23.93</t>
  </si>
  <si>
    <t>Kp yajat</t>
  </si>
  <si>
    <t>57:25.43</t>
  </si>
  <si>
    <t>03:27.36</t>
  </si>
  <si>
    <t>01:10.38</t>
  </si>
  <si>
    <t>14:36.28</t>
  </si>
  <si>
    <t>01:07.21</t>
  </si>
  <si>
    <t>08:23.95</t>
  </si>
  <si>
    <t>yajat2103@gmail.com</t>
  </si>
  <si>
    <t>Vinesh Rakesh</t>
  </si>
  <si>
    <t>03:39.01</t>
  </si>
  <si>
    <t>21/3/2006</t>
  </si>
  <si>
    <t>01:12.58</t>
  </si>
  <si>
    <t>13:28.98</t>
  </si>
  <si>
    <t>01:07.15</t>
  </si>
  <si>
    <t>09:24.58</t>
  </si>
  <si>
    <t>28:52.32</t>
  </si>
  <si>
    <t>Shivaram Madhira</t>
  </si>
  <si>
    <t>Adarsh Ms</t>
  </si>
  <si>
    <t>Kids Tri-u/14 (51)</t>
  </si>
  <si>
    <t>03:32.30</t>
  </si>
  <si>
    <t>01:33.72</t>
  </si>
  <si>
    <t>57:25.46</t>
  </si>
  <si>
    <t>14:40.93</t>
  </si>
  <si>
    <t>01:10.29</t>
  </si>
  <si>
    <t>09:04.22</t>
  </si>
  <si>
    <t>30:01.47</t>
  </si>
  <si>
    <t>adarshswimm@gmail.com</t>
  </si>
  <si>
    <t>Vidhan Dhuri</t>
  </si>
  <si>
    <t>03:26.56</t>
  </si>
  <si>
    <t>01:17.44</t>
  </si>
  <si>
    <t>14:07.36</t>
  </si>
  <si>
    <t>01:28.88</t>
  </si>
  <si>
    <t>10:07.13</t>
  </si>
  <si>
    <t>30:27.39</t>
  </si>
  <si>
    <t>Sarungbam Athouba Meitei</t>
  </si>
  <si>
    <t>58:07.50</t>
  </si>
  <si>
    <t>sarungbamathouba@gmail.com</t>
  </si>
  <si>
    <t>Anand Desai</t>
  </si>
  <si>
    <t>Phone</t>
  </si>
  <si>
    <t>Emergency</t>
  </si>
  <si>
    <t>03:29.22</t>
  </si>
  <si>
    <t>Tshirt</t>
  </si>
  <si>
    <t>01:27.38</t>
  </si>
  <si>
    <t>Under23 (18-23 years) Female</t>
  </si>
  <si>
    <t>Medical Condition</t>
  </si>
  <si>
    <t>15:21.39</t>
  </si>
  <si>
    <t>01:06.10</t>
  </si>
  <si>
    <t>09:06.08</t>
  </si>
  <si>
    <t>30:30.19</t>
  </si>
  <si>
    <t>SANYAM KHALASI</t>
  </si>
  <si>
    <t>03:36.96</t>
  </si>
  <si>
    <t>rioganapathy@gmail.com</t>
  </si>
  <si>
    <t>01:19.91</t>
  </si>
  <si>
    <t>15:03.04</t>
  </si>
  <si>
    <t>01:24.71</t>
  </si>
  <si>
    <t>09:39.83</t>
  </si>
  <si>
    <t>31:04.46</t>
  </si>
  <si>
    <t>Vikas jatav</t>
  </si>
  <si>
    <t>03:32.31</t>
  </si>
  <si>
    <t>01:42.11</t>
  </si>
  <si>
    <t>16:09.06</t>
  </si>
  <si>
    <t>01:16.37</t>
  </si>
  <si>
    <t>09:24.45</t>
  </si>
  <si>
    <t>Under23 (18-23 years)</t>
  </si>
  <si>
    <t>32:04.31</t>
  </si>
  <si>
    <t>Sanjana Joshi</t>
  </si>
  <si>
    <t>1:07:26.80</t>
  </si>
  <si>
    <t>VEDANT VINAYAK SAMLETI</t>
  </si>
  <si>
    <t>03:38.44</t>
  </si>
  <si>
    <t>01:50.86</t>
  </si>
  <si>
    <t>sanjanascrt@gmail.com</t>
  </si>
  <si>
    <t>15:47.74</t>
  </si>
  <si>
    <t>01:08.78</t>
  </si>
  <si>
    <t>10:03.41</t>
  </si>
  <si>
    <t>32:29.24</t>
  </si>
  <si>
    <t>Aarav Ahuja</t>
  </si>
  <si>
    <t>03:52.42</t>
  </si>
  <si>
    <t>01:42.80</t>
  </si>
  <si>
    <t>15:21.43</t>
  </si>
  <si>
    <t>Durvisha Pawar</t>
  </si>
  <si>
    <t>01:18.45</t>
  </si>
  <si>
    <t>10:18.45</t>
  </si>
  <si>
    <t>32:33.57</t>
  </si>
  <si>
    <t>1:07:55.29</t>
  </si>
  <si>
    <t>prasjdeshpande@gmail.com</t>
  </si>
  <si>
    <t>durvishapawar248@gmail.com</t>
  </si>
  <si>
    <t>Ekam Singh Adak</t>
  </si>
  <si>
    <t>03:40.58</t>
  </si>
  <si>
    <t>01:32.52</t>
  </si>
  <si>
    <t>15:02.50</t>
  </si>
  <si>
    <t>01:23.83</t>
  </si>
  <si>
    <t>11:14.92</t>
  </si>
  <si>
    <t>32:54.37</t>
  </si>
  <si>
    <t>Arnav Yadav</t>
  </si>
  <si>
    <t>Heena Phogat</t>
  </si>
  <si>
    <t>04:36.18</t>
  </si>
  <si>
    <t>1:08:36.60</t>
  </si>
  <si>
    <t>14:41.92</t>
  </si>
  <si>
    <t>01:16.97</t>
  </si>
  <si>
    <t>10:33.43</t>
  </si>
  <si>
    <t>33:02.78</t>
  </si>
  <si>
    <t>heenaphogat1329sg@gmail.com</t>
  </si>
  <si>
    <t>Abhijay Kumaran</t>
  </si>
  <si>
    <t>04:11.34</t>
  </si>
  <si>
    <t>Arohi Balaji kendre</t>
  </si>
  <si>
    <t>02:03.50</t>
  </si>
  <si>
    <t xml:space="preserve">Maharashtra </t>
  </si>
  <si>
    <t>15:40.66</t>
  </si>
  <si>
    <t>Under23 (18-23 years) Male</t>
  </si>
  <si>
    <t>swimswatikande91@gmail.com</t>
  </si>
  <si>
    <t>01:23.45</t>
  </si>
  <si>
    <t>10:16.94</t>
  </si>
  <si>
    <t>33:35.91</t>
  </si>
  <si>
    <t>Trinabh Sharma</t>
  </si>
  <si>
    <t>Punjab</t>
  </si>
  <si>
    <t>03:37.70</t>
  </si>
  <si>
    <t>02:05.68</t>
  </si>
  <si>
    <t>16:39.85</t>
  </si>
  <si>
    <t>01:16.57</t>
  </si>
  <si>
    <t>09:56.21</t>
  </si>
  <si>
    <t>33:36.03</t>
  </si>
  <si>
    <t>X Small</t>
  </si>
  <si>
    <t>Sorokhaibam Pinibash Meitei</t>
  </si>
  <si>
    <t>05:03.33</t>
  </si>
  <si>
    <t>01:26.06</t>
  </si>
  <si>
    <t>14:55.10</t>
  </si>
  <si>
    <t>01:26.80</t>
  </si>
  <si>
    <t>11:40.01</t>
  </si>
  <si>
    <t>34:31.32</t>
  </si>
  <si>
    <t>Lakshyakhandelwal118@gmail.com</t>
  </si>
  <si>
    <t>Dev Ambokar</t>
  </si>
  <si>
    <t>Hari Bala Pandia Rajan</t>
  </si>
  <si>
    <t>58:34.32</t>
  </si>
  <si>
    <t>03:40.59</t>
  </si>
  <si>
    <t>01:24.48</t>
  </si>
  <si>
    <t>16:16.88</t>
  </si>
  <si>
    <t>01:29.49</t>
  </si>
  <si>
    <t>devambokar2003@gmail.com</t>
  </si>
  <si>
    <t>11:40.29</t>
  </si>
  <si>
    <t>34:31.75</t>
  </si>
  <si>
    <t>___</t>
  </si>
  <si>
    <t>Luith devaiah KP</t>
  </si>
  <si>
    <t>04:02.16</t>
  </si>
  <si>
    <t>01:45.12</t>
  </si>
  <si>
    <t>16:01.75</t>
  </si>
  <si>
    <t>01:25.67</t>
  </si>
  <si>
    <t>Telheiba soram</t>
  </si>
  <si>
    <t>11:30.47</t>
  </si>
  <si>
    <t>34:45.18</t>
  </si>
  <si>
    <t>59:16.11</t>
  </si>
  <si>
    <t>roadstargomathi@gmail.com</t>
  </si>
  <si>
    <t>telheibasoram52@gmail.com</t>
  </si>
  <si>
    <t>Shardul Sontakke</t>
  </si>
  <si>
    <t>03:57.43</t>
  </si>
  <si>
    <t>01:51.29</t>
  </si>
  <si>
    <t>16:39.90</t>
  </si>
  <si>
    <t>01:26.41</t>
  </si>
  <si>
    <t>11:20.42</t>
  </si>
  <si>
    <t>35:15.47</t>
  </si>
  <si>
    <t>KABIDASH KSHETRIMAYUM</t>
  </si>
  <si>
    <t>Hemant Mali</t>
  </si>
  <si>
    <t>59:51.55</t>
  </si>
  <si>
    <t>04:07.88</t>
  </si>
  <si>
    <t>01:59.22</t>
  </si>
  <si>
    <t>16:40.22</t>
  </si>
  <si>
    <t>01:18.36</t>
  </si>
  <si>
    <t>11:13.70</t>
  </si>
  <si>
    <t>35:19.40</t>
  </si>
  <si>
    <t>kabidashkshetrimayum@gmail.com</t>
  </si>
  <si>
    <t>vijayks4u@gmail.com</t>
  </si>
  <si>
    <t>Guhan Saravanan</t>
  </si>
  <si>
    <t>03:55.89</t>
  </si>
  <si>
    <t>02:07.16</t>
  </si>
  <si>
    <t>16:42.95</t>
  </si>
  <si>
    <t>01:29.89</t>
  </si>
  <si>
    <t>12:23.01</t>
  </si>
  <si>
    <t>36:38.92</t>
  </si>
  <si>
    <t>Kanish</t>
  </si>
  <si>
    <t>CHENNAI</t>
  </si>
  <si>
    <t>03:43.66</t>
  </si>
  <si>
    <t>02:16.32</t>
  </si>
  <si>
    <t>15:47.66</t>
  </si>
  <si>
    <t>13:43.59</t>
  </si>
  <si>
    <t>36:59.77</t>
  </si>
  <si>
    <t>shrinik Chetan Bhambere</t>
  </si>
  <si>
    <t>04:07.77</t>
  </si>
  <si>
    <t>02:10.94</t>
  </si>
  <si>
    <t>17:23.52</t>
  </si>
  <si>
    <t>01:13.57</t>
  </si>
  <si>
    <t>12:10.41</t>
  </si>
  <si>
    <t>37:06.23</t>
  </si>
  <si>
    <t>supriyakanitkar87@gmail.com</t>
  </si>
  <si>
    <t>ANSH CHANDRAKAR</t>
  </si>
  <si>
    <t>04:24.01</t>
  </si>
  <si>
    <t>02:04.70</t>
  </si>
  <si>
    <t>17:04.87</t>
  </si>
  <si>
    <t>01:18.39</t>
  </si>
  <si>
    <t>12:28.16</t>
  </si>
  <si>
    <t>37:20.15</t>
  </si>
  <si>
    <t>Ruturaj Deepak Dhage</t>
  </si>
  <si>
    <t>04:42.91</t>
  </si>
  <si>
    <t>02:08.44</t>
  </si>
  <si>
    <t>18:56.16</t>
  </si>
  <si>
    <t>01:19.52</t>
  </si>
  <si>
    <t>10:36.90</t>
  </si>
  <si>
    <t>37:43.94</t>
  </si>
  <si>
    <t>Sharvil Dattatray Deshmukh</t>
  </si>
  <si>
    <t>04:18.41</t>
  </si>
  <si>
    <t>01:59.88</t>
  </si>
  <si>
    <t>17:30.85</t>
  </si>
  <si>
    <t>01:26.45</t>
  </si>
  <si>
    <t>12:48.37</t>
  </si>
  <si>
    <t>38:03.98</t>
  </si>
  <si>
    <t>jondhaleuttam93@gmail.com</t>
  </si>
  <si>
    <t>Shree Vijay Chikhale</t>
  </si>
  <si>
    <t>04:18.85</t>
  </si>
  <si>
    <t>02:13.39</t>
  </si>
  <si>
    <t>17:45.22</t>
  </si>
  <si>
    <t>01:33.99</t>
  </si>
  <si>
    <t>12:13.09</t>
  </si>
  <si>
    <t>38:04.56</t>
  </si>
  <si>
    <t>Prathamesh Kisan Mahajan</t>
  </si>
  <si>
    <t>Shap-l</t>
  </si>
  <si>
    <t>06:12.68</t>
  </si>
  <si>
    <t>02:06.51</t>
  </si>
  <si>
    <t>18:52.38</t>
  </si>
  <si>
    <t>01:18.70</t>
  </si>
  <si>
    <t>10:39.26</t>
  </si>
  <si>
    <t>39:09.55</t>
  </si>
  <si>
    <t>kanchanswaghmare2222@gmail.com</t>
  </si>
  <si>
    <t>Vyom sachin Kokitkar</t>
  </si>
  <si>
    <t>04:12.14</t>
  </si>
  <si>
    <t>01:43.17</t>
  </si>
  <si>
    <t>17:55.77</t>
  </si>
  <si>
    <t>01:28.14</t>
  </si>
  <si>
    <t>13:57.60</t>
  </si>
  <si>
    <t>39:16.83</t>
  </si>
  <si>
    <t>Vihaan Shekhar Tulpule</t>
  </si>
  <si>
    <t>03:30.68</t>
  </si>
  <si>
    <t>02:56.27</t>
  </si>
  <si>
    <t>18:06.47</t>
  </si>
  <si>
    <t>01:27.40</t>
  </si>
  <si>
    <t>13:24.63</t>
  </si>
  <si>
    <t>39:25.46</t>
  </si>
  <si>
    <t>Amit singh karakoti</t>
  </si>
  <si>
    <t>07:21.38</t>
  </si>
  <si>
    <t>02:03.71</t>
  </si>
  <si>
    <t>17:44.43</t>
  </si>
  <si>
    <t>01:06.89</t>
  </si>
  <si>
    <t>11:56.33</t>
  </si>
  <si>
    <t>40:12.76</t>
  </si>
  <si>
    <t>Chinmay Maslekar</t>
  </si>
  <si>
    <t>04:05.24</t>
  </si>
  <si>
    <t>02:19.13</t>
  </si>
  <si>
    <t>19:45.50</t>
  </si>
  <si>
    <t>01:19.80</t>
  </si>
  <si>
    <t>12:44.08</t>
  </si>
  <si>
    <t>40:13.77</t>
  </si>
  <si>
    <t>Pradnyesh Kanitkar</t>
  </si>
  <si>
    <t>sonali6188@gmail.com</t>
  </si>
  <si>
    <t>06:00.61</t>
  </si>
  <si>
    <t>01:54.69</t>
  </si>
  <si>
    <t>18:35.01</t>
  </si>
  <si>
    <t>01:23.00</t>
  </si>
  <si>
    <t>14:35.53</t>
  </si>
  <si>
    <t>42:28.86</t>
  </si>
  <si>
    <t>Lakshya Avinash Khandelwal</t>
  </si>
  <si>
    <t>04:37.70</t>
  </si>
  <si>
    <t>02:11.58</t>
  </si>
  <si>
    <t>19:05.84</t>
  </si>
  <si>
    <t>01:56.02</t>
  </si>
  <si>
    <t>16:58.55</t>
  </si>
  <si>
    <t>44:49.71</t>
  </si>
  <si>
    <t>Aryan Rai</t>
  </si>
  <si>
    <t>MH</t>
  </si>
  <si>
    <t>04:28.37</t>
  </si>
  <si>
    <t>02:38.25</t>
  </si>
  <si>
    <t>19:29.36</t>
  </si>
  <si>
    <t>01:50.98</t>
  </si>
  <si>
    <t>19:34.04</t>
  </si>
  <si>
    <t>48:01.02</t>
  </si>
  <si>
    <t>deelip@carelifting.com</t>
  </si>
  <si>
    <t>35.</t>
  </si>
  <si>
    <t>Shishupal prajapati</t>
  </si>
  <si>
    <t>04:50.08</t>
  </si>
  <si>
    <t>01:48.17</t>
  </si>
  <si>
    <t>31:56.13</t>
  </si>
  <si>
    <t>Rudransh Shukla</t>
  </si>
  <si>
    <t>04:53.92</t>
  </si>
  <si>
    <t>02:12.18</t>
  </si>
  <si>
    <t>33:16.31</t>
  </si>
  <si>
    <t>Priya Dharsan M</t>
  </si>
  <si>
    <t>05:28.85</t>
  </si>
  <si>
    <t>33:57.28</t>
  </si>
  <si>
    <t>imranashake@gmail.com</t>
  </si>
  <si>
    <t>Malhaar Desai</t>
  </si>
  <si>
    <t>04:02.81</t>
  </si>
  <si>
    <t>02:01.78</t>
  </si>
  <si>
    <t>18:52.88</t>
  </si>
  <si>
    <t>01:25.88</t>
  </si>
  <si>
    <t>11:51.78</t>
  </si>
  <si>
    <t>38:15.15</t>
  </si>
  <si>
    <t>ANANYA VISHVAKANT UPADHYAY</t>
  </si>
  <si>
    <t>DNS</t>
  </si>
  <si>
    <t>leishangthemsaiyonbichanu@gmail.com</t>
  </si>
  <si>
    <t>N/A</t>
  </si>
  <si>
    <t>kpn3011@gmail.com</t>
  </si>
  <si>
    <t>kulkarnishweta791@gmail.com</t>
  </si>
  <si>
    <t xml:space="preserve">16-19 </t>
  </si>
  <si>
    <t>12:18.07</t>
  </si>
  <si>
    <t>01:34.32</t>
  </si>
  <si>
    <t>Pokalerenuka8@gemail.com</t>
  </si>
  <si>
    <t>33:59.90</t>
  </si>
  <si>
    <t>01:23.51</t>
  </si>
  <si>
    <t>No medical issues</t>
  </si>
  <si>
    <t>manjusharathod5353@gmail.com</t>
  </si>
  <si>
    <t>13:20.91</t>
  </si>
  <si>
    <t>01:29.15</t>
  </si>
  <si>
    <t>33:11.90</t>
  </si>
  <si>
    <t>13:13.41</t>
  </si>
  <si>
    <t>02:05.40</t>
  </si>
  <si>
    <t>39:12.37</t>
  </si>
  <si>
    <t>02:17.92</t>
  </si>
  <si>
    <t>Noor khan</t>
  </si>
  <si>
    <t>Telengana</t>
  </si>
  <si>
    <t>salamkhan7730@gmail.com</t>
  </si>
  <si>
    <t>11:02.13</t>
  </si>
  <si>
    <t>01:13.34</t>
  </si>
  <si>
    <t>29:54.72</t>
  </si>
  <si>
    <t>01:08.87</t>
  </si>
  <si>
    <t>Nil</t>
  </si>
  <si>
    <t>10:49.63</t>
  </si>
  <si>
    <t>01:24.93</t>
  </si>
  <si>
    <t>30:47.81</t>
  </si>
  <si>
    <t>01:23.75</t>
  </si>
  <si>
    <t>patilprash87@gmail.com</t>
  </si>
  <si>
    <t>11:54.93</t>
  </si>
  <si>
    <t>01:24.59</t>
  </si>
  <si>
    <t>32:13.48</t>
  </si>
  <si>
    <t>01:22.70</t>
  </si>
  <si>
    <t>Chintu Phogat</t>
  </si>
  <si>
    <t>13:13.25</t>
  </si>
  <si>
    <t>31:04.74</t>
  </si>
  <si>
    <t>01:11.72</t>
  </si>
  <si>
    <t>Ashvin Kumar</t>
  </si>
  <si>
    <t>10:18.90</t>
  </si>
  <si>
    <t>01:27.17</t>
  </si>
  <si>
    <t>35:00.30</t>
  </si>
  <si>
    <t>deepakdhage28@gmail.com</t>
  </si>
  <si>
    <t>01:30.88</t>
  </si>
  <si>
    <t>Gond Anurag Ravindra</t>
  </si>
  <si>
    <t>10:45.24</t>
  </si>
  <si>
    <t>33:06.35</t>
  </si>
  <si>
    <t>01:15.76</t>
  </si>
  <si>
    <t>SITABZ MAJUMDAR</t>
  </si>
  <si>
    <t>11:06.49</t>
  </si>
  <si>
    <t>01:47.46</t>
  </si>
  <si>
    <t>34:49.65</t>
  </si>
  <si>
    <t>01:22.61</t>
  </si>
  <si>
    <t>lalitdeokar3@gmail.com</t>
  </si>
  <si>
    <t>Tanishq Deshpande</t>
  </si>
  <si>
    <t>17:43.71</t>
  </si>
  <si>
    <t>01:31.97</t>
  </si>
  <si>
    <t>32:05.16</t>
  </si>
  <si>
    <t>01:31.06</t>
  </si>
  <si>
    <t>No medi problem</t>
  </si>
  <si>
    <t>Dhruva Garladinne Ram</t>
  </si>
  <si>
    <t>14:10.26</t>
  </si>
  <si>
    <t>02:46.89</t>
  </si>
  <si>
    <t>36:59.01</t>
  </si>
  <si>
    <t>01:47.70</t>
  </si>
  <si>
    <t>20:20.98</t>
  </si>
  <si>
    <t>01:34.39</t>
  </si>
  <si>
    <t>33:46.29</t>
  </si>
  <si>
    <t>01:53.88</t>
  </si>
  <si>
    <t>added on 12 Aug</t>
  </si>
  <si>
    <t>Sohum Tolwani</t>
  </si>
  <si>
    <t>18:46.23</t>
  </si>
  <si>
    <t>02:37.70</t>
  </si>
  <si>
    <t>38:51.11</t>
  </si>
  <si>
    <t>01:57.93</t>
  </si>
  <si>
    <t xml:space="preserve">female </t>
  </si>
  <si>
    <t>ankush.amle@gmail.com</t>
  </si>
  <si>
    <t>14:46.34</t>
  </si>
  <si>
    <t>02:17.36</t>
  </si>
  <si>
    <t>38:54.51</t>
  </si>
  <si>
    <t>02:19.59</t>
  </si>
  <si>
    <t>AREEN SRIVASTAV</t>
  </si>
  <si>
    <t>13:47.89</t>
  </si>
  <si>
    <t>03:17.96</t>
  </si>
  <si>
    <t>41:04.00</t>
  </si>
  <si>
    <t>02:07.06</t>
  </si>
  <si>
    <t>Parth Khachane</t>
  </si>
  <si>
    <t>maharashtra</t>
  </si>
  <si>
    <t>19:02.64</t>
  </si>
  <si>
    <t>02:11.57</t>
  </si>
  <si>
    <t>40:59.94</t>
  </si>
  <si>
    <t>01:22.01</t>
  </si>
  <si>
    <t>Lalit Rajiv Jadhav</t>
  </si>
  <si>
    <t>19:10.71</t>
  </si>
  <si>
    <t>02:02.80</t>
  </si>
  <si>
    <t>37:23.29</t>
  </si>
  <si>
    <t>02:38.03</t>
  </si>
  <si>
    <t>JEEVAN TEJ VP</t>
  </si>
  <si>
    <t>16:07.89</t>
  </si>
  <si>
    <t>03:03.30</t>
  </si>
  <si>
    <t>57:48.74</t>
  </si>
  <si>
    <t>02:06.06</t>
  </si>
  <si>
    <t>Telem Rozer Singh</t>
  </si>
  <si>
    <t>16:40.61</t>
  </si>
  <si>
    <t>01:26.82</t>
  </si>
  <si>
    <t>rajanikulkarni2510@gmail.com</t>
  </si>
  <si>
    <t>Saikhom Roshan Singh</t>
  </si>
  <si>
    <t>16:34.67</t>
  </si>
  <si>
    <t>01:28.28</t>
  </si>
  <si>
    <t>Vatsal Palivela</t>
  </si>
  <si>
    <t>11:22.47</t>
  </si>
  <si>
    <t>01:47.44</t>
  </si>
  <si>
    <t>45:40.80</t>
  </si>
  <si>
    <t>arunjvin@gmail.com</t>
  </si>
  <si>
    <t xml:space="preserve">20 -24 </t>
  </si>
  <si>
    <t>12:55.59</t>
  </si>
  <si>
    <t>01:35.15</t>
  </si>
  <si>
    <t>37:48.00</t>
  </si>
  <si>
    <t>01:37.17</t>
  </si>
  <si>
    <t>Nill</t>
  </si>
  <si>
    <t>Arihant Arun Nair</t>
  </si>
  <si>
    <t>17:23.92</t>
  </si>
  <si>
    <t>01:49.60</t>
  </si>
  <si>
    <t>40:01.87</t>
  </si>
  <si>
    <t>arunphoenix372@gmail.com</t>
  </si>
  <si>
    <t>01:29.14</t>
  </si>
  <si>
    <t>20:37.34</t>
  </si>
  <si>
    <t>02:51.67</t>
  </si>
  <si>
    <t>37:37.97</t>
  </si>
  <si>
    <t>01:51.97</t>
  </si>
  <si>
    <t>Denise Maureen Tariang</t>
  </si>
  <si>
    <t>MEGHALAYA</t>
  </si>
  <si>
    <t>22:28.42</t>
  </si>
  <si>
    <t>02:44.06</t>
  </si>
  <si>
    <t>45:30.29</t>
  </si>
  <si>
    <t>02:26.57</t>
  </si>
  <si>
    <t>Dhanashri Rajiv Jadhav</t>
  </si>
  <si>
    <t>17:22.01</t>
  </si>
  <si>
    <t>03:00.23</t>
  </si>
  <si>
    <t>59:15.25</t>
  </si>
  <si>
    <t>03:15.34</t>
  </si>
  <si>
    <t>sinclairzoran@gmail.com</t>
  </si>
  <si>
    <t>Upasana Ray</t>
  </si>
  <si>
    <t>22:07.82</t>
  </si>
  <si>
    <t>03:34.72</t>
  </si>
  <si>
    <t>56:36.31</t>
  </si>
  <si>
    <t>02:47.47</t>
  </si>
  <si>
    <t>10:08.97</t>
  </si>
  <si>
    <t>01:19.57</t>
  </si>
  <si>
    <t>29:44.55</t>
  </si>
  <si>
    <t>01:13.73</t>
  </si>
  <si>
    <t>VEER SHRIPAD BALKI</t>
  </si>
  <si>
    <t>shree.balki@gmail.com</t>
  </si>
  <si>
    <t>14:43.06</t>
  </si>
  <si>
    <t>01:35.25</t>
  </si>
  <si>
    <t>30:15.94</t>
  </si>
  <si>
    <t>01:24.77</t>
  </si>
  <si>
    <t>11:23.91</t>
  </si>
  <si>
    <t>01:22.50</t>
  </si>
  <si>
    <t>34:31.18</t>
  </si>
  <si>
    <t>01:12.21</t>
  </si>
  <si>
    <t>ayushshendkar388@gamil.com</t>
  </si>
  <si>
    <t>Daksh Khante</t>
  </si>
  <si>
    <t>14:10.66</t>
  </si>
  <si>
    <t>01:30.27</t>
  </si>
  <si>
    <t>30:53.03</t>
  </si>
  <si>
    <t>01:26.95</t>
  </si>
  <si>
    <t>Aniket Ramdas Malwade</t>
  </si>
  <si>
    <t>15:08.68</t>
  </si>
  <si>
    <t>02:15.10</t>
  </si>
  <si>
    <t>33:16.01</t>
  </si>
  <si>
    <t>01:34.05</t>
  </si>
  <si>
    <t>Gurumayum Gulson Sharma</t>
  </si>
  <si>
    <t>20:42.82</t>
  </si>
  <si>
    <t>01:41.43</t>
  </si>
  <si>
    <t>34:47.08</t>
  </si>
  <si>
    <t>01:14.21</t>
  </si>
  <si>
    <t>ghoseaviram@gmail.com</t>
  </si>
  <si>
    <t>James Anderson kharlyngdoh</t>
  </si>
  <si>
    <t>13:49.49</t>
  </si>
  <si>
    <t>02:25.79</t>
  </si>
  <si>
    <t>36:28.71</t>
  </si>
  <si>
    <t>01:25.55</t>
  </si>
  <si>
    <t>PAWAN DHUMAL</t>
  </si>
  <si>
    <t>16:29.08</t>
  </si>
  <si>
    <t>01:26.97</t>
  </si>
  <si>
    <t>34:45.23</t>
  </si>
  <si>
    <t>01:32.06</t>
  </si>
  <si>
    <t>Biswajit Deka</t>
  </si>
  <si>
    <t>11:59.60</t>
  </si>
  <si>
    <t>01:30.91</t>
  </si>
  <si>
    <t>37:17.68</t>
  </si>
  <si>
    <t>07:00.50</t>
  </si>
  <si>
    <t>Gaurang Tamhane</t>
  </si>
  <si>
    <t>16:57.13</t>
  </si>
  <si>
    <t>swimbalaji1984@gmail.com</t>
  </si>
  <si>
    <t>03:07.83</t>
  </si>
  <si>
    <t>37:21.01</t>
  </si>
  <si>
    <t>01:53.54</t>
  </si>
  <si>
    <t>Glanreenda</t>
  </si>
  <si>
    <t>21:17.23</t>
  </si>
  <si>
    <t>03:33.10</t>
  </si>
  <si>
    <t>41:46.59</t>
  </si>
  <si>
    <t>01:43.58</t>
  </si>
  <si>
    <t>Saad khan</t>
  </si>
  <si>
    <t>45:20.54</t>
  </si>
  <si>
    <t xml:space="preserve">25-29 </t>
  </si>
  <si>
    <t>13:28.16</t>
  </si>
  <si>
    <t>01:44.26</t>
  </si>
  <si>
    <t>40:11.49</t>
  </si>
  <si>
    <t>ajayks.07@gmail.com</t>
  </si>
  <si>
    <t>01:27.97</t>
  </si>
  <si>
    <t>Sumarbeyang</t>
  </si>
  <si>
    <t>17:45.59</t>
  </si>
  <si>
    <t>02:13.37</t>
  </si>
  <si>
    <t>42:50.87</t>
  </si>
  <si>
    <t>01:39.94</t>
  </si>
  <si>
    <t>22:06.70</t>
  </si>
  <si>
    <t>03:13.01</t>
  </si>
  <si>
    <t>48:36.82</t>
  </si>
  <si>
    <t>01:53.56</t>
  </si>
  <si>
    <t>Ibankdup Nongbet</t>
  </si>
  <si>
    <t>jagtapashvini@gmail.com</t>
  </si>
  <si>
    <t>27:28.35</t>
  </si>
  <si>
    <t>03:23.55</t>
  </si>
  <si>
    <t>43:50.14</t>
  </si>
  <si>
    <t>01:39.75</t>
  </si>
  <si>
    <t>10:37.37</t>
  </si>
  <si>
    <t>01:18.07</t>
  </si>
  <si>
    <t>32:39.27</t>
  </si>
  <si>
    <t>01:57.08</t>
  </si>
  <si>
    <t>09:59.93</t>
  </si>
  <si>
    <t>01:18.62</t>
  </si>
  <si>
    <t>31:27.83</t>
  </si>
  <si>
    <t>01:21.65</t>
  </si>
  <si>
    <t>13:29.28</t>
  </si>
  <si>
    <t>01:41.76</t>
  </si>
  <si>
    <t>34:45.31</t>
  </si>
  <si>
    <t>01:46.84</t>
  </si>
  <si>
    <t>Sumedh Heramb Rasal</t>
  </si>
  <si>
    <t>14:53.26</t>
  </si>
  <si>
    <t>03:12.16</t>
  </si>
  <si>
    <t>36:48.78</t>
  </si>
  <si>
    <t>01:17.48</t>
  </si>
  <si>
    <t>Chatrapati Aryan Tandon</t>
  </si>
  <si>
    <t>15:20.68</t>
  </si>
  <si>
    <t>02:19.63</t>
  </si>
  <si>
    <t>37:52.35</t>
  </si>
  <si>
    <t>02:20.90</t>
  </si>
  <si>
    <t>Willbonshon</t>
  </si>
  <si>
    <t>17:49.39</t>
  </si>
  <si>
    <t>34:11.09</t>
  </si>
  <si>
    <t>01:26.90</t>
  </si>
  <si>
    <t>mddanishsingamayum086@gmail.com</t>
  </si>
  <si>
    <t>Lourembam Manipur Tomthin Nganba</t>
  </si>
  <si>
    <t>14:56.68</t>
  </si>
  <si>
    <t>01:51.28</t>
  </si>
  <si>
    <t>38:59.24</t>
  </si>
  <si>
    <t>02:11.46</t>
  </si>
  <si>
    <t>Hardik Gundal</t>
  </si>
  <si>
    <t>19:22.91</t>
  </si>
  <si>
    <t>01:57.70</t>
  </si>
  <si>
    <t>36:28.20</t>
  </si>
  <si>
    <t>07:17.73</t>
  </si>
  <si>
    <t>lakshguru76@gmail.com</t>
  </si>
  <si>
    <t>DHAKANE SUNIL UTTAM</t>
  </si>
  <si>
    <t>14:22.26</t>
  </si>
  <si>
    <t>02:36.39</t>
  </si>
  <si>
    <t>Jaidev Natesh</t>
  </si>
  <si>
    <t>11:30.36</t>
  </si>
  <si>
    <t xml:space="preserve">30-34 </t>
  </si>
  <si>
    <t>19:17.43</t>
  </si>
  <si>
    <t>02:09.90</t>
  </si>
  <si>
    <t>36:25.13</t>
  </si>
  <si>
    <t>02:29.07</t>
  </si>
  <si>
    <t>Varshakondhalkar04@gmail.com</t>
  </si>
  <si>
    <t>11:02.83</t>
  </si>
  <si>
    <t>01:19.81</t>
  </si>
  <si>
    <t>30:22.92</t>
  </si>
  <si>
    <t>01:11.61</t>
  </si>
  <si>
    <t>11:53.36</t>
  </si>
  <si>
    <t>01:39.88</t>
  </si>
  <si>
    <t>32:38.66</t>
  </si>
  <si>
    <t>06:19.91</t>
  </si>
  <si>
    <t>14:53.61</t>
  </si>
  <si>
    <t>01:41.81</t>
  </si>
  <si>
    <t>43:51.24</t>
  </si>
  <si>
    <t>02:48.83</t>
  </si>
  <si>
    <t>No medical issue</t>
  </si>
  <si>
    <t>WILLIAM K SANGMA</t>
  </si>
  <si>
    <t>16:30.50</t>
  </si>
  <si>
    <t>02:14.06</t>
  </si>
  <si>
    <t>38:00.17</t>
  </si>
  <si>
    <t>07:04.99</t>
  </si>
  <si>
    <t>priyakishor.22@gmail.com</t>
  </si>
  <si>
    <t>Aashlesh Deshpande</t>
  </si>
  <si>
    <t>22:09.43</t>
  </si>
  <si>
    <t>02:58.63</t>
  </si>
  <si>
    <t>39:00.29</t>
  </si>
  <si>
    <t>07:18.20</t>
  </si>
  <si>
    <t xml:space="preserve">35-39 </t>
  </si>
  <si>
    <t>20:43.99</t>
  </si>
  <si>
    <t>03:00.70</t>
  </si>
  <si>
    <t>45:42.33</t>
  </si>
  <si>
    <t>08:46.79</t>
  </si>
  <si>
    <t>11:07.72</t>
  </si>
  <si>
    <t>01:14.44</t>
  </si>
  <si>
    <t>30:24.07</t>
  </si>
  <si>
    <t>01:11.32</t>
  </si>
  <si>
    <t>20:00.17</t>
  </si>
  <si>
    <t>02:35.90</t>
  </si>
  <si>
    <t>31:47.87</t>
  </si>
  <si>
    <t>02:08.24</t>
  </si>
  <si>
    <t>25:53.26</t>
  </si>
  <si>
    <t>03:50.32</t>
  </si>
  <si>
    <t>36:46.41</t>
  </si>
  <si>
    <t>02:05.19</t>
  </si>
  <si>
    <t>Abhinandan Gupta</t>
  </si>
  <si>
    <t>22:02.65</t>
  </si>
  <si>
    <t>03:45.07</t>
  </si>
  <si>
    <t>38:34.38</t>
  </si>
  <si>
    <t>06:44.23</t>
  </si>
  <si>
    <t>VIKRAM VERMA</t>
  </si>
  <si>
    <t>19:24.92</t>
  </si>
  <si>
    <t>04:30.72</t>
  </si>
  <si>
    <t>45:14.33</t>
  </si>
  <si>
    <t>01:54.32</t>
  </si>
  <si>
    <t>parth.ronge@gmail.com</t>
  </si>
  <si>
    <t>Vaibhav Dudhale</t>
  </si>
  <si>
    <t>26:19.57</t>
  </si>
  <si>
    <t>04:45.72</t>
  </si>
  <si>
    <t>39:49.29</t>
  </si>
  <si>
    <t>02:12.73</t>
  </si>
  <si>
    <t>Sunil Deore</t>
  </si>
  <si>
    <t>20:12.79</t>
  </si>
  <si>
    <t>03:14.42</t>
  </si>
  <si>
    <t>41:26.16</t>
  </si>
  <si>
    <t>08:25.47</t>
  </si>
  <si>
    <t>Satish Patange</t>
  </si>
  <si>
    <t>21:58.38</t>
  </si>
  <si>
    <t>03:22.68</t>
  </si>
  <si>
    <t>43:49.34</t>
  </si>
  <si>
    <t>01:47.82</t>
  </si>
  <si>
    <t>somnath katkar</t>
  </si>
  <si>
    <t>21:35.46</t>
  </si>
  <si>
    <t>02:58.89</t>
  </si>
  <si>
    <t>spbhilare@gmail.com</t>
  </si>
  <si>
    <t xml:space="preserve">40-44 </t>
  </si>
  <si>
    <t>12:13.92</t>
  </si>
  <si>
    <t>01:42.21</t>
  </si>
  <si>
    <t>34:13.63</t>
  </si>
  <si>
    <t>08:22.04</t>
  </si>
  <si>
    <t>15:44.66</t>
  </si>
  <si>
    <t>02:44.82</t>
  </si>
  <si>
    <t>36:32.08</t>
  </si>
  <si>
    <t>01:23.02</t>
  </si>
  <si>
    <t>21:26.41</t>
  </si>
  <si>
    <t>02:07.31</t>
  </si>
  <si>
    <t>36:17.80</t>
  </si>
  <si>
    <t>01:33.17</t>
  </si>
  <si>
    <t>vgalgali@gmail.com</t>
  </si>
  <si>
    <t>Alok Kumar Singh</t>
  </si>
  <si>
    <t>23:07.86</t>
  </si>
  <si>
    <t>03:14.14</t>
  </si>
  <si>
    <t>40:37.31</t>
  </si>
  <si>
    <t>01:37.89</t>
  </si>
  <si>
    <t>David E I Wahlang</t>
  </si>
  <si>
    <t>24:01.70</t>
  </si>
  <si>
    <t>02:48.40</t>
  </si>
  <si>
    <t>40:02.83</t>
  </si>
  <si>
    <t>01:44.85</t>
  </si>
  <si>
    <t>Pratapsingh Yeotikar</t>
  </si>
  <si>
    <t>18:55.68</t>
  </si>
  <si>
    <t>03:36.85</t>
  </si>
  <si>
    <t>38:20.23</t>
  </si>
  <si>
    <t>08:53.12</t>
  </si>
  <si>
    <t>Pushkar Adsule</t>
  </si>
  <si>
    <t>30:11.73</t>
  </si>
  <si>
    <t>04:35.99</t>
  </si>
  <si>
    <t>41:59.97</t>
  </si>
  <si>
    <t>02:47.49</t>
  </si>
  <si>
    <t>ndkhokale@gmail.com</t>
  </si>
  <si>
    <t xml:space="preserve">45-49 </t>
  </si>
  <si>
    <t>Ila Chandrawanshi</t>
  </si>
  <si>
    <t>09:50.42</t>
  </si>
  <si>
    <t>02:30.58</t>
  </si>
  <si>
    <t>39:08.74</t>
  </si>
  <si>
    <t>08:07.54</t>
  </si>
  <si>
    <t>14:13.92</t>
  </si>
  <si>
    <t>02:09.18</t>
  </si>
  <si>
    <t>34:26.76</t>
  </si>
  <si>
    <t>02:34.99</t>
  </si>
  <si>
    <t>No medical History</t>
  </si>
  <si>
    <t>25:58.39</t>
  </si>
  <si>
    <t>02:42.01</t>
  </si>
  <si>
    <t>36:53.12</t>
  </si>
  <si>
    <t>02:16.73</t>
  </si>
  <si>
    <t>anupdhotre777@gmail.com</t>
  </si>
  <si>
    <t>19:25.71</t>
  </si>
  <si>
    <t>03:43.09</t>
  </si>
  <si>
    <t>41:19.63</t>
  </si>
  <si>
    <t>02:03.30</t>
  </si>
  <si>
    <t xml:space="preserve">50-54 </t>
  </si>
  <si>
    <t>17:49.77</t>
  </si>
  <si>
    <t>05:00.63</t>
  </si>
  <si>
    <t>41:13.68</t>
  </si>
  <si>
    <t>02:30.19</t>
  </si>
  <si>
    <t>24:38.08</t>
  </si>
  <si>
    <t>37:47.03</t>
  </si>
  <si>
    <t>03:30.49</t>
  </si>
  <si>
    <t xml:space="preserve">55-59 </t>
  </si>
  <si>
    <t>20:40.58</t>
  </si>
  <si>
    <t>03:08.28</t>
  </si>
  <si>
    <t>hi.sswimmer1990@gmail.com</t>
  </si>
  <si>
    <t>37:29.87</t>
  </si>
  <si>
    <t>01:54.65</t>
  </si>
  <si>
    <t>18:11.67</t>
  </si>
  <si>
    <t>04:16.57</t>
  </si>
  <si>
    <t>41:13.97</t>
  </si>
  <si>
    <t>01:54.97</t>
  </si>
  <si>
    <t xml:space="preserve">60+ </t>
  </si>
  <si>
    <t>15:31.28</t>
  </si>
  <si>
    <t>39:13.03</t>
  </si>
  <si>
    <t>02:22.86</t>
  </si>
  <si>
    <t>Na</t>
  </si>
  <si>
    <t>10:48.54</t>
  </si>
  <si>
    <t>01:13.92</t>
  </si>
  <si>
    <t>32:36.02</t>
  </si>
  <si>
    <t>01:07.91</t>
  </si>
  <si>
    <t>10:37.61</t>
  </si>
  <si>
    <t>01:19.41</t>
  </si>
  <si>
    <t>32:41.42</t>
  </si>
  <si>
    <t>01:07.89</t>
  </si>
  <si>
    <t>23/01/2013</t>
  </si>
  <si>
    <t>Malhar Ketkar</t>
  </si>
  <si>
    <t>11:01.28</t>
  </si>
  <si>
    <t>01:20.72</t>
  </si>
  <si>
    <t>32:57.93</t>
  </si>
  <si>
    <t>01:15.36</t>
  </si>
  <si>
    <t>Aadhya Singh</t>
  </si>
  <si>
    <t>13:57.26</t>
  </si>
  <si>
    <t>32:39.08</t>
  </si>
  <si>
    <t>01:15.17</t>
  </si>
  <si>
    <t>Rama Sonkar</t>
  </si>
  <si>
    <t>12:54.41</t>
  </si>
  <si>
    <t>01:44.12</t>
  </si>
  <si>
    <t>34:52.41</t>
  </si>
  <si>
    <t>SUB JUNIOR (58)</t>
  </si>
  <si>
    <t>01:25.61</t>
  </si>
  <si>
    <t>Snehal Joshi</t>
  </si>
  <si>
    <t>12:09.01</t>
  </si>
  <si>
    <t>01:27.58</t>
  </si>
  <si>
    <t>35:05.09</t>
  </si>
  <si>
    <t>01:30.66</t>
  </si>
  <si>
    <t>AARTHI S</t>
  </si>
  <si>
    <t>13:06.35</t>
  </si>
  <si>
    <t>01:25.40</t>
  </si>
  <si>
    <t>35:53.89</t>
  </si>
  <si>
    <t>01:26.92</t>
  </si>
  <si>
    <t>Nongmaithem Sweety Chanu</t>
  </si>
  <si>
    <t>12:02.38</t>
  </si>
  <si>
    <t>37:50.50</t>
  </si>
  <si>
    <t>01:12.96</t>
  </si>
  <si>
    <t>RINKU SINGH</t>
  </si>
  <si>
    <t>Jharkhand</t>
  </si>
  <si>
    <t>23:04.62</t>
  </si>
  <si>
    <t>02:07.41</t>
  </si>
  <si>
    <t>41:02.62</t>
  </si>
  <si>
    <t>01:57.00</t>
  </si>
  <si>
    <t>Medhawini kapoor</t>
  </si>
  <si>
    <t>18:04.50</t>
  </si>
  <si>
    <t>02:53.39</t>
  </si>
  <si>
    <t>48:23.24</t>
  </si>
  <si>
    <t>Sub Jnr National - Born 2011 or 2012</t>
  </si>
  <si>
    <t>Nainsi</t>
  </si>
  <si>
    <t>15:36.93</t>
  </si>
  <si>
    <t>02:25.21</t>
  </si>
  <si>
    <t>51:21.79</t>
  </si>
  <si>
    <t>01:30.50</t>
  </si>
  <si>
    <t>SREENANDANA HARIDAS</t>
  </si>
  <si>
    <t>Kerala</t>
  </si>
  <si>
    <t>17:32.55</t>
  </si>
  <si>
    <t>02:45.52</t>
  </si>
  <si>
    <t>44:44.32</t>
  </si>
  <si>
    <t>02:05.91</t>
  </si>
  <si>
    <t>mozhik40@gmail.com</t>
  </si>
  <si>
    <t>Gouri Parvanendu S</t>
  </si>
  <si>
    <t>25:17.56</t>
  </si>
  <si>
    <t>03:05.54</t>
  </si>
  <si>
    <t>49:18.57</t>
  </si>
  <si>
    <t>00:24.37</t>
  </si>
  <si>
    <t>SABITA SARDAR</t>
  </si>
  <si>
    <t>30:10.51</t>
  </si>
  <si>
    <t>09:11.23</t>
  </si>
  <si>
    <t>01:14.41</t>
  </si>
  <si>
    <t>30:07.81</t>
  </si>
  <si>
    <t>01:04.09</t>
  </si>
  <si>
    <t>09:48.33</t>
  </si>
  <si>
    <t>01:07.01</t>
  </si>
  <si>
    <t>29:37.57</t>
  </si>
  <si>
    <t>01:04.43</t>
  </si>
  <si>
    <t>09:25.34</t>
  </si>
  <si>
    <t>01:09.40</t>
  </si>
  <si>
    <t>31:02.65</t>
  </si>
  <si>
    <t>01:02.15</t>
  </si>
  <si>
    <t>Khundrakpam Nganba meitei</t>
  </si>
  <si>
    <t>09:40.23</t>
  </si>
  <si>
    <t>01:15.11</t>
  </si>
  <si>
    <t>29:39.19</t>
  </si>
  <si>
    <t>01:03.81</t>
  </si>
  <si>
    <t>58:36.51</t>
  </si>
  <si>
    <t>Aman</t>
  </si>
  <si>
    <t>10:11.28</t>
  </si>
  <si>
    <t>01:19.79</t>
  </si>
  <si>
    <t>30:44.52</t>
  </si>
  <si>
    <t>01:06.15</t>
  </si>
  <si>
    <t>Kavya Chinthala</t>
  </si>
  <si>
    <t>Vishwanath Yadav</t>
  </si>
  <si>
    <t>09:59.97</t>
  </si>
  <si>
    <t>Karuna.patil7@gmail.com</t>
  </si>
  <si>
    <t>31:51.28</t>
  </si>
  <si>
    <t>01:11.09</t>
  </si>
  <si>
    <t>Parth Mirage</t>
  </si>
  <si>
    <t>10:20.48</t>
  </si>
  <si>
    <t>01:14.19</t>
  </si>
  <si>
    <t>31:32.49</t>
  </si>
  <si>
    <t>01:12.67</t>
  </si>
  <si>
    <t>Aman Prajapati</t>
  </si>
  <si>
    <t>11:18.03</t>
  </si>
  <si>
    <t>01:14.28</t>
  </si>
  <si>
    <t>31:25.65</t>
  </si>
  <si>
    <t>01:11.16</t>
  </si>
  <si>
    <t>Koushik Malandkar</t>
  </si>
  <si>
    <t>10:35.54</t>
  </si>
  <si>
    <t>01:11.80</t>
  </si>
  <si>
    <t>32:15.51</t>
  </si>
  <si>
    <t>01:10.11</t>
  </si>
  <si>
    <t>Laikhuram velenjit singh</t>
  </si>
  <si>
    <t>11:33.20</t>
  </si>
  <si>
    <t>01:22.34</t>
  </si>
  <si>
    <t>32:00.72</t>
  </si>
  <si>
    <t>01:16.75</t>
  </si>
  <si>
    <t>Anmol Jindal</t>
  </si>
  <si>
    <t>10:20.55</t>
  </si>
  <si>
    <t>01:38.22</t>
  </si>
  <si>
    <t>33:30.45</t>
  </si>
  <si>
    <t>Saikhom Bikash Singh</t>
  </si>
  <si>
    <t>11:59.39</t>
  </si>
  <si>
    <t>01:23.66</t>
  </si>
  <si>
    <t>31:29.18</t>
  </si>
  <si>
    <t>01:11.22</t>
  </si>
  <si>
    <t>Twisted Ankle</t>
  </si>
  <si>
    <t>AKASH SONU AGARWADEKAR</t>
  </si>
  <si>
    <t>GOA</t>
  </si>
  <si>
    <t>13:32.14</t>
  </si>
  <si>
    <t>01:26.04</t>
  </si>
  <si>
    <t>32:22.78</t>
  </si>
  <si>
    <t>01:23.05</t>
  </si>
  <si>
    <t>VINOD R</t>
  </si>
  <si>
    <t>11:53.24</t>
  </si>
  <si>
    <t>01:28.56</t>
  </si>
  <si>
    <t>33:39.50</t>
  </si>
  <si>
    <t>01:10.51</t>
  </si>
  <si>
    <t>Gaurav Sudarsh Kumar</t>
  </si>
  <si>
    <t>12:20.15</t>
  </si>
  <si>
    <t>01:54.81</t>
  </si>
  <si>
    <t>33:48.87</t>
  </si>
  <si>
    <t>01:21.01</t>
  </si>
  <si>
    <t>harichandra shambu velip</t>
  </si>
  <si>
    <t>15:13.21</t>
  </si>
  <si>
    <t>01:47.99</t>
  </si>
  <si>
    <t>35:14.71</t>
  </si>
  <si>
    <t>01:14.66</t>
  </si>
  <si>
    <t>TEJASHWARRAN</t>
  </si>
  <si>
    <t>15:04.38</t>
  </si>
  <si>
    <t>01:34.35</t>
  </si>
  <si>
    <t>33:34.88</t>
  </si>
  <si>
    <t>01:34.56</t>
  </si>
  <si>
    <t>oju.kulkarni@gmail.com</t>
  </si>
  <si>
    <t>Pranav Gupta</t>
  </si>
  <si>
    <t>16:06.86</t>
  </si>
  <si>
    <t>02:32.42</t>
  </si>
  <si>
    <t>35:57.47</t>
  </si>
  <si>
    <t>01:47.68</t>
  </si>
  <si>
    <t>Suvajit Dey</t>
  </si>
  <si>
    <t>Tripura</t>
  </si>
  <si>
    <t>13:20.86</t>
  </si>
  <si>
    <t>02:15.90</t>
  </si>
  <si>
    <t>06:52.76</t>
  </si>
  <si>
    <t>Narendra Hansdah</t>
  </si>
  <si>
    <t>16:30.42</t>
  </si>
  <si>
    <t>02:17.17</t>
  </si>
  <si>
    <t>35:47.34</t>
  </si>
  <si>
    <t>02:07.89</t>
  </si>
  <si>
    <t>GURJINDER SINGH</t>
  </si>
  <si>
    <t>16:13.64</t>
  </si>
  <si>
    <t>01:49.75</t>
  </si>
  <si>
    <t>suyog.shaha123@gmail.com</t>
  </si>
  <si>
    <t>35:59.23</t>
  </si>
  <si>
    <t>01:48.03</t>
  </si>
  <si>
    <t>VISHNU DUTT CHAUHAN</t>
  </si>
  <si>
    <t>13:38.11</t>
  </si>
  <si>
    <t>02:15.72</t>
  </si>
  <si>
    <t>37:00.61</t>
  </si>
  <si>
    <t>01:29.70</t>
  </si>
  <si>
    <t>SIGIREDDY MANAS KUMAR</t>
  </si>
  <si>
    <t>12:23.72</t>
  </si>
  <si>
    <t>02:16.88</t>
  </si>
  <si>
    <t>41:42.87</t>
  </si>
  <si>
    <t>01:22.97</t>
  </si>
  <si>
    <t>no</t>
  </si>
  <si>
    <t>Chatur singh rawat</t>
  </si>
  <si>
    <t>19:48.98</t>
  </si>
  <si>
    <t>02:16.49</t>
  </si>
  <si>
    <t>36:41.78</t>
  </si>
  <si>
    <t>01:24.85</t>
  </si>
  <si>
    <t>Aadya Bharadwaj</t>
  </si>
  <si>
    <t>Varshan Kumar L</t>
  </si>
  <si>
    <t>imparul@gmail.com</t>
  </si>
  <si>
    <t>16:51.89</t>
  </si>
  <si>
    <t>02:03.11</t>
  </si>
  <si>
    <t>36:56.05</t>
  </si>
  <si>
    <t>Ajendra chauhan</t>
  </si>
  <si>
    <t>12:59.50</t>
  </si>
  <si>
    <t>02:16.08</t>
  </si>
  <si>
    <t>45:30.13</t>
  </si>
  <si>
    <t>01:52.27</t>
  </si>
  <si>
    <t>ROHIT RAJ</t>
  </si>
  <si>
    <t>19:24.13</t>
  </si>
  <si>
    <t>02:59.70</t>
  </si>
  <si>
    <t>40:04.60</t>
  </si>
  <si>
    <t>01:35.16</t>
  </si>
  <si>
    <t>Ritesh Kumar</t>
  </si>
  <si>
    <t>13:41.47</t>
  </si>
  <si>
    <t>02:16.79</t>
  </si>
  <si>
    <t>40:20.16</t>
  </si>
  <si>
    <t>07:52.37</t>
  </si>
  <si>
    <t>srinuswimmer1234@gmail.com</t>
  </si>
  <si>
    <t>AKANSU KUMAR</t>
  </si>
  <si>
    <t>14:25.98</t>
  </si>
  <si>
    <t>02:14.76</t>
  </si>
  <si>
    <t>43:12.11</t>
  </si>
  <si>
    <t>01:55.99</t>
  </si>
  <si>
    <t>Niranjan Shriram Shingade</t>
  </si>
  <si>
    <t>12:15.36</t>
  </si>
  <si>
    <t>01:13.81</t>
  </si>
  <si>
    <t>34:10.66</t>
  </si>
  <si>
    <t>01:07.53</t>
  </si>
  <si>
    <t>ARNAB BHATTACHARYA</t>
  </si>
  <si>
    <t>No medical problem</t>
  </si>
  <si>
    <t>15:02.20</t>
  </si>
  <si>
    <t>01:53.07</t>
  </si>
  <si>
    <t>Sukhmandeep Singh</t>
  </si>
  <si>
    <t>15:08.24</t>
  </si>
  <si>
    <t>02:41.07</t>
  </si>
  <si>
    <t>saanvi.maiti@gmail.com</t>
  </si>
  <si>
    <t>41:33.13</t>
  </si>
  <si>
    <t>01:54.83</t>
  </si>
  <si>
    <t>Sateesh Kumar Bajiya</t>
  </si>
  <si>
    <t>14:32.99</t>
  </si>
  <si>
    <t>02:44.71</t>
  </si>
  <si>
    <t>PISINI SATTI BABU</t>
  </si>
  <si>
    <t>07:12.26</t>
  </si>
  <si>
    <t xml:space="preserve">Under23 </t>
  </si>
  <si>
    <t>10:38.43</t>
  </si>
  <si>
    <t>01:15.71</t>
  </si>
  <si>
    <t>34:20.22</t>
  </si>
  <si>
    <t>01:22.51</t>
  </si>
  <si>
    <t>kalmeghvikram5@gmail.com</t>
  </si>
  <si>
    <t>11:39.78</t>
  </si>
  <si>
    <t>01:21.14</t>
  </si>
  <si>
    <t>32:19.74</t>
  </si>
  <si>
    <t>13:12.39</t>
  </si>
  <si>
    <t>01:31.09</t>
  </si>
  <si>
    <t>33:28.61</t>
  </si>
  <si>
    <t>01:04.79</t>
  </si>
  <si>
    <t>Heny Zalavadiya</t>
  </si>
  <si>
    <t>11:41.83</t>
  </si>
  <si>
    <t>01:29.78</t>
  </si>
  <si>
    <t>34:15.32</t>
  </si>
  <si>
    <t>Ananya</t>
  </si>
  <si>
    <t>12:15.77</t>
  </si>
  <si>
    <t>01:33.53</t>
  </si>
  <si>
    <t>35:34.43</t>
  </si>
  <si>
    <t>01:24.37</t>
  </si>
  <si>
    <t>HEMA VARSHINI JAMBULURI</t>
  </si>
  <si>
    <t>11:02.32</t>
  </si>
  <si>
    <t>01:49.30</t>
  </si>
  <si>
    <t>39:04.11</t>
  </si>
  <si>
    <t>01:24.05</t>
  </si>
  <si>
    <t>Dhriti koujalgi</t>
  </si>
  <si>
    <t>dahiyarenu@gmail.com</t>
  </si>
  <si>
    <t>13:11.64</t>
  </si>
  <si>
    <t>39:11.18</t>
  </si>
  <si>
    <t>02:03.07</t>
  </si>
  <si>
    <t>Moana sri S</t>
  </si>
  <si>
    <t>12:32.54</t>
  </si>
  <si>
    <t>02:01.49</t>
  </si>
  <si>
    <t>40:01.97</t>
  </si>
  <si>
    <t>01:30.93</t>
  </si>
  <si>
    <t>rajujade3382@gmail.com</t>
  </si>
  <si>
    <t>Sethulakshmi vb</t>
  </si>
  <si>
    <t>17:49.07</t>
  </si>
  <si>
    <t>01:52.87</t>
  </si>
  <si>
    <t>35:46.81</t>
  </si>
  <si>
    <t>02:27.14</t>
  </si>
  <si>
    <t>AASTHA SINGH</t>
  </si>
  <si>
    <t>20-01-2011</t>
  </si>
  <si>
    <t>15:12.58</t>
  </si>
  <si>
    <t>01:57.22</t>
  </si>
  <si>
    <t>44:56.71</t>
  </si>
  <si>
    <t>01:46.40</t>
  </si>
  <si>
    <t>tanushrimalik0711@gmail.com</t>
  </si>
  <si>
    <t>Annesha Bhowmik</t>
  </si>
  <si>
    <t>15:45.42</t>
  </si>
  <si>
    <t>02:31.86</t>
  </si>
  <si>
    <t>46:45.22</t>
  </si>
  <si>
    <t>08:20.49</t>
  </si>
  <si>
    <t>Anushka Goswami</t>
  </si>
  <si>
    <t>13:03.99</t>
  </si>
  <si>
    <t>madhuramallya18@gmail.com</t>
  </si>
  <si>
    <t>01:46.80</t>
  </si>
  <si>
    <t>BHUMI GUPTA</t>
  </si>
  <si>
    <t>11:08.25</t>
  </si>
  <si>
    <t>Tania Deb</t>
  </si>
  <si>
    <t>17:22.99</t>
  </si>
  <si>
    <t>02:02.18</t>
  </si>
  <si>
    <t>11:13.40</t>
  </si>
  <si>
    <t>Nandita Parameshwaran</t>
  </si>
  <si>
    <t>30:10.81</t>
  </si>
  <si>
    <t>09:35.59</t>
  </si>
  <si>
    <t>01:14.32</t>
  </si>
  <si>
    <t>29:40.53</t>
  </si>
  <si>
    <t>01:09.90</t>
  </si>
  <si>
    <t>10:17.95</t>
  </si>
  <si>
    <t>01:15.30</t>
  </si>
  <si>
    <t>30:46.35</t>
  </si>
  <si>
    <t>01:05.18</t>
  </si>
  <si>
    <t>10:26.61</t>
  </si>
  <si>
    <t>01:11.65</t>
  </si>
  <si>
    <t>30:41.93</t>
  </si>
  <si>
    <t>31011980ravi@gmail.com</t>
  </si>
  <si>
    <t>01:03.94</t>
  </si>
  <si>
    <t>Ankur</t>
  </si>
  <si>
    <t>10:33.65</t>
  </si>
  <si>
    <t>01:03.85</t>
  </si>
  <si>
    <t>30:40.63</t>
  </si>
  <si>
    <t>01:06.94</t>
  </si>
  <si>
    <t>Vaman Sakthivel</t>
  </si>
  <si>
    <t>10:38.04</t>
  </si>
  <si>
    <t>01:15.68</t>
  </si>
  <si>
    <t>30:28.21</t>
  </si>
  <si>
    <t>01:04.42</t>
  </si>
  <si>
    <t>SRIDATH SUDHEER</t>
  </si>
  <si>
    <t>11:06.78</t>
  </si>
  <si>
    <t>01:17.32</t>
  </si>
  <si>
    <t>30:06.98</t>
  </si>
  <si>
    <t>01:09.94</t>
  </si>
  <si>
    <t>manidatas@gmail.com</t>
  </si>
  <si>
    <t>Sandham punshiba meitei</t>
  </si>
  <si>
    <t>10:39.00</t>
  </si>
  <si>
    <t>01:11.48</t>
  </si>
  <si>
    <t>31:24.90</t>
  </si>
  <si>
    <t>01:11.46</t>
  </si>
  <si>
    <t>Angad Vilin Ingalekar</t>
  </si>
  <si>
    <t>10:37.21</t>
  </si>
  <si>
    <t>01:20.14</t>
  </si>
  <si>
    <t>31:20.19</t>
  </si>
  <si>
    <t>01:09.72</t>
  </si>
  <si>
    <t>Jatin Airwahar</t>
  </si>
  <si>
    <t>14:28.07</t>
  </si>
  <si>
    <t>01:13.29</t>
  </si>
  <si>
    <t>31:18.88</t>
  </si>
  <si>
    <t>01:10.33</t>
  </si>
  <si>
    <t>Gundu vishnu vardhan</t>
  </si>
  <si>
    <t>devjatiya8@gmail.com</t>
  </si>
  <si>
    <t>09:55.11</t>
  </si>
  <si>
    <t>01:24.07</t>
  </si>
  <si>
    <t>31:52.74</t>
  </si>
  <si>
    <t>01:27.33</t>
  </si>
  <si>
    <t>Tushar</t>
  </si>
  <si>
    <t>12:35.00</t>
  </si>
  <si>
    <t>01:32.62</t>
  </si>
  <si>
    <t>31:32.37</t>
  </si>
  <si>
    <t>01:04.96</t>
  </si>
  <si>
    <t>Fhaen</t>
  </si>
  <si>
    <t>Mannat Saini</t>
  </si>
  <si>
    <t>12:02.65</t>
  </si>
  <si>
    <t>01:26.65</t>
  </si>
  <si>
    <t>31:05.38</t>
  </si>
  <si>
    <t>05:44.25</t>
  </si>
  <si>
    <t>kalyanitulpule@gmail.com</t>
  </si>
  <si>
    <t>Sai Lohitaksh K D</t>
  </si>
  <si>
    <t>10:51.39</t>
  </si>
  <si>
    <t>01:14.68</t>
  </si>
  <si>
    <t>33:19.34</t>
  </si>
  <si>
    <t>01:18.89</t>
  </si>
  <si>
    <t>Shirish Yadav</t>
  </si>
  <si>
    <t>14:40.13</t>
  </si>
  <si>
    <t>01:21.47</t>
  </si>
  <si>
    <t>32:50.72</t>
  </si>
  <si>
    <t>01:10.55</t>
  </si>
  <si>
    <t>Bajrang Godara</t>
  </si>
  <si>
    <t>01:28.27</t>
  </si>
  <si>
    <t>31:55.89</t>
  </si>
  <si>
    <t>01:14.40</t>
  </si>
  <si>
    <t>Ishant Singh</t>
  </si>
  <si>
    <t>12:55.21</t>
  </si>
  <si>
    <t>01:29.36</t>
  </si>
  <si>
    <t>34:25.75</t>
  </si>
  <si>
    <t>01:01.00</t>
  </si>
  <si>
    <t>Lakshay Jindal</t>
  </si>
  <si>
    <t>09:35.24</t>
  </si>
  <si>
    <t>01:40.24</t>
  </si>
  <si>
    <t>35:30.70</t>
  </si>
  <si>
    <t>01:38.48</t>
  </si>
  <si>
    <t>tushar</t>
  </si>
  <si>
    <t>15:59.80</t>
  </si>
  <si>
    <t>01:43.91</t>
  </si>
  <si>
    <t>34:41.34</t>
  </si>
  <si>
    <t>01:24.98</t>
  </si>
  <si>
    <t>atharv umasut sawant</t>
  </si>
  <si>
    <t>12:17.80</t>
  </si>
  <si>
    <t>01:25.05</t>
  </si>
  <si>
    <t>30:53.42</t>
  </si>
  <si>
    <t>05:52.96</t>
  </si>
  <si>
    <t>RIMO ROY</t>
  </si>
  <si>
    <t>13:32.92</t>
  </si>
  <si>
    <t>01:34.08</t>
  </si>
  <si>
    <t>33:38.00</t>
  </si>
  <si>
    <t>01:42.88</t>
  </si>
  <si>
    <t>Rishabh mingwal</t>
  </si>
  <si>
    <t>16:26.36</t>
  </si>
  <si>
    <t>01:30.60</t>
  </si>
  <si>
    <t>35:48.02</t>
  </si>
  <si>
    <t>raia41890@gmail.com</t>
  </si>
  <si>
    <t>01:07.13</t>
  </si>
  <si>
    <t>gurudatt nishad</t>
  </si>
  <si>
    <t>17:14.42</t>
  </si>
  <si>
    <t>01:50.32</t>
  </si>
  <si>
    <t>34:07.82</t>
  </si>
  <si>
    <t>01:18.06</t>
  </si>
  <si>
    <t>Adwik Hazarika</t>
  </si>
  <si>
    <t>11:24.68</t>
  </si>
  <si>
    <t>01:57.50</t>
  </si>
  <si>
    <t>37:21.83</t>
  </si>
  <si>
    <t>01:31.07</t>
  </si>
  <si>
    <t>JAY SHRIPAD BALKI</t>
  </si>
  <si>
    <t>Manu Vashistha</t>
  </si>
  <si>
    <t>11:17.80</t>
  </si>
  <si>
    <t>02:26.80</t>
  </si>
  <si>
    <t>39:05.94</t>
  </si>
  <si>
    <t>01:59.98</t>
  </si>
  <si>
    <t>Nabhan Nk</t>
  </si>
  <si>
    <t>14:38.74</t>
  </si>
  <si>
    <t>01:36.49</t>
  </si>
  <si>
    <t>37:14.02</t>
  </si>
  <si>
    <t>01:17.36</t>
  </si>
  <si>
    <t>Aftab Hossain</t>
  </si>
  <si>
    <t>12:55.49</t>
  </si>
  <si>
    <t>02:06.87</t>
  </si>
  <si>
    <t>39:04.98</t>
  </si>
  <si>
    <t>01:18.50</t>
  </si>
  <si>
    <t>Akash Nitharwal</t>
  </si>
  <si>
    <t>15:02.45</t>
  </si>
  <si>
    <t>02:23.87</t>
  </si>
  <si>
    <t>39:43.67</t>
  </si>
  <si>
    <t>01:14.51</t>
  </si>
  <si>
    <t>Hridai Barman</t>
  </si>
  <si>
    <t>14:05.59</t>
  </si>
  <si>
    <t>02:17.90</t>
  </si>
  <si>
    <t>40:44.89</t>
  </si>
  <si>
    <t>01:19.97</t>
  </si>
  <si>
    <t>Nilashis Majumder</t>
  </si>
  <si>
    <t>15:05.49</t>
  </si>
  <si>
    <t>02:10.30</t>
  </si>
  <si>
    <t>39:54.10</t>
  </si>
  <si>
    <t>01:18.28</t>
  </si>
  <si>
    <t>Pradeep Sahani</t>
  </si>
  <si>
    <t>12:10.15</t>
  </si>
  <si>
    <t>02:08.47</t>
  </si>
  <si>
    <t>40:48.20</t>
  </si>
  <si>
    <t>01:38.26</t>
  </si>
  <si>
    <t>Muhammed Hisham NK</t>
  </si>
  <si>
    <t>14:35.58</t>
  </si>
  <si>
    <t>01:44.44</t>
  </si>
  <si>
    <t>38:06.76</t>
  </si>
  <si>
    <t>01:17.52</t>
  </si>
  <si>
    <t>toran nishad</t>
  </si>
  <si>
    <t>16:11.65</t>
  </si>
  <si>
    <t>02:06.65</t>
  </si>
  <si>
    <t>41:46.00</t>
  </si>
  <si>
    <t>01:32.87</t>
  </si>
  <si>
    <t>PUSKAR DAS</t>
  </si>
  <si>
    <t>12:58.02</t>
  </si>
  <si>
    <t>02:26.70</t>
  </si>
  <si>
    <t>40:25.81</t>
  </si>
  <si>
    <t>01:44.02</t>
  </si>
  <si>
    <t>NAVATHE TEJAS</t>
  </si>
  <si>
    <t>15:02.97</t>
  </si>
  <si>
    <t>02:31.63</t>
  </si>
  <si>
    <t>40:48.75</t>
  </si>
  <si>
    <t>01:24.73</t>
  </si>
  <si>
    <t>20:22.97</t>
  </si>
  <si>
    <t>02:40.10</t>
  </si>
  <si>
    <t>39:47.37</t>
  </si>
  <si>
    <t>01:29.92</t>
  </si>
  <si>
    <t>milindkm@gmail.com</t>
  </si>
  <si>
    <t>Rushil Arush Nadimetla</t>
  </si>
  <si>
    <t>14:06.93</t>
  </si>
  <si>
    <t>02:22.53</t>
  </si>
  <si>
    <t>40:27.70</t>
  </si>
  <si>
    <t>01:39.11</t>
  </si>
  <si>
    <t>36.</t>
  </si>
  <si>
    <t>AGNIVA GHOSAL</t>
  </si>
  <si>
    <t>16:19.48</t>
  </si>
  <si>
    <t>01:44.35</t>
  </si>
  <si>
    <t>48:05.54</t>
  </si>
  <si>
    <t>01:31.47</t>
  </si>
  <si>
    <t>37.</t>
  </si>
  <si>
    <t>vinayaksamleti@gmail.com</t>
  </si>
  <si>
    <t>Hrishikesh Patil</t>
  </si>
  <si>
    <t>10:42.14</t>
  </si>
  <si>
    <t>01:10.77</t>
  </si>
  <si>
    <t>Jeedesh D</t>
  </si>
  <si>
    <t>Swim Lap</t>
  </si>
  <si>
    <t>Tanmay Badola</t>
  </si>
  <si>
    <t>Sunita Subhash Mahajan</t>
  </si>
  <si>
    <t>manojjha70@gmail.com</t>
  </si>
  <si>
    <t>Maharastra</t>
  </si>
  <si>
    <t>Willbonsan</t>
  </si>
  <si>
    <t>Ashwin V</t>
  </si>
  <si>
    <t>Shripad Giridhar Balki</t>
  </si>
  <si>
    <t>sheetal.jadhav8513@gmail.com</t>
  </si>
  <si>
    <t>Manoj Vanjari</t>
  </si>
  <si>
    <t>Vivek Kumar</t>
  </si>
  <si>
    <t>-</t>
  </si>
  <si>
    <t>Harshawardhan Datatreya Kaul</t>
  </si>
  <si>
    <t>Chinmaya M</t>
  </si>
  <si>
    <t>vedanthi@gmail.com</t>
  </si>
  <si>
    <t>esharma164@gmail.com</t>
  </si>
  <si>
    <t>asinghkarakoti@gmail.com</t>
  </si>
  <si>
    <t>meenanongmaithem7@gmail.com</t>
  </si>
  <si>
    <t>pinibashsorokhaibam@gmail.com</t>
  </si>
  <si>
    <t>sonalichikhale158@gmail.com</t>
  </si>
  <si>
    <t>Shishupalswimmer@gmail.com</t>
  </si>
  <si>
    <t>sarsurya@yahoo.co.in</t>
  </si>
  <si>
    <t>NIL</t>
  </si>
  <si>
    <t>Bandari Sai Sri harshith</t>
  </si>
  <si>
    <t>saisripraneeth@gmail.com</t>
  </si>
  <si>
    <t>Swimmingswimming33@gmail.com</t>
  </si>
  <si>
    <t>sachinkokitkar045@gmail.com</t>
  </si>
  <si>
    <t>15-08-2011</t>
  </si>
  <si>
    <t>keyur6281@gmail.com</t>
  </si>
  <si>
    <t>kamlesh091276@icloud.com</t>
  </si>
  <si>
    <t>23-02-2012</t>
  </si>
  <si>
    <t>sterlingemersonprojects@gmail.com</t>
  </si>
  <si>
    <t>18-06-2011</t>
  </si>
  <si>
    <t>nkumaran78@gmail.com</t>
  </si>
  <si>
    <t>14-06-2011</t>
  </si>
  <si>
    <t>vinesh.r.0611@gmail.com</t>
  </si>
  <si>
    <t>tamilraju83@gmail.com</t>
  </si>
  <si>
    <t>kc.chandrakar@gmail.com</t>
  </si>
  <si>
    <t>sunitamahajan0129@gmail.com</t>
  </si>
  <si>
    <t>22-03-2011</t>
  </si>
  <si>
    <t>jagve123@gmail.com</t>
  </si>
  <si>
    <t>Junior (52)</t>
  </si>
  <si>
    <t>Junior National - Born 2009 or 2010</t>
  </si>
  <si>
    <t>smonuj031@gmail.com</t>
  </si>
  <si>
    <t>18-05-2010</t>
  </si>
  <si>
    <t>advaithreddy0511@gmail.com</t>
  </si>
  <si>
    <t>gourishingade381@gmail.com</t>
  </si>
  <si>
    <t>VISHIAC99@GMAIL.COM</t>
  </si>
  <si>
    <t>devikumarluckymoni@gmail.com</t>
  </si>
  <si>
    <t>Flat foot</t>
  </si>
  <si>
    <t>Vinayagaannai@gmail.com</t>
  </si>
  <si>
    <t>sriram.viji@gmail.com</t>
  </si>
  <si>
    <t>28-10-2010</t>
  </si>
  <si>
    <t>rakeshmakwana1983@gmail.com</t>
  </si>
  <si>
    <t>Nothing</t>
  </si>
  <si>
    <t>hansdahr136@gmail.com</t>
  </si>
  <si>
    <t>kedar.skulkarni14@gmail.com</t>
  </si>
  <si>
    <t>vtron2009@gmail.com</t>
  </si>
  <si>
    <t>Jeeth Sai</t>
  </si>
  <si>
    <t>deepak_soul@yahoo.com</t>
  </si>
  <si>
    <t>Prathviraj Singh harod</t>
  </si>
  <si>
    <t>kiranharod017@gmail.com</t>
  </si>
  <si>
    <t>as8234882@gmail.com</t>
  </si>
  <si>
    <t>dhruvsahu3634v@gmail.com</t>
  </si>
  <si>
    <t>sharmasunil24873@gmail.com</t>
  </si>
  <si>
    <t>ahmedyarkhan718@gmail.com</t>
  </si>
  <si>
    <t>amjad_jameel@rediffmail.com</t>
  </si>
  <si>
    <t>chandrakant7662@gmail.com</t>
  </si>
  <si>
    <t>Nobe</t>
  </si>
  <si>
    <t>ananyadeshmukh65@gmail.com</t>
  </si>
  <si>
    <t>15-04-2009</t>
  </si>
  <si>
    <t>irbandgar1@gmail.com</t>
  </si>
  <si>
    <t>savitaibandgar@gmail.com</t>
  </si>
  <si>
    <t>31-03-2010</t>
  </si>
  <si>
    <t>narendrahande224@gmail.com</t>
  </si>
  <si>
    <t>Good</t>
  </si>
  <si>
    <t>elangchanaoboy@gmail.com</t>
  </si>
  <si>
    <t>maibamkorounganba2451@gmail.com</t>
  </si>
  <si>
    <t>N\A</t>
  </si>
  <si>
    <t>Khumanyaiphaba17@gmail.com</t>
  </si>
  <si>
    <t>liza.ramg@gmail.com</t>
  </si>
  <si>
    <t>saismaran@saimail.com</t>
  </si>
  <si>
    <t>harishvarmaj7@gmail.com</t>
  </si>
  <si>
    <t>bnr.admin@gmail.com</t>
  </si>
  <si>
    <t>vatsalsmt@gmail.com</t>
  </si>
  <si>
    <t>saisripraneeth1@gmail.com</t>
  </si>
  <si>
    <t>18-06-2010</t>
  </si>
  <si>
    <t>Shpoonam228@gmail.com</t>
  </si>
  <si>
    <t>yogeshagg219@gmail.com</t>
  </si>
  <si>
    <t>mukeshchoudharyiitr@gmail.com</t>
  </si>
  <si>
    <t>neerajkumarsahu28082009@gmail.com</t>
  </si>
  <si>
    <t>suryanshsinghchauhan1801@gmail.com</t>
  </si>
  <si>
    <t>raj.rishiyadav22@gmail.com</t>
  </si>
  <si>
    <t>U23 (59)</t>
  </si>
  <si>
    <t>Geneder</t>
  </si>
  <si>
    <t>Email</t>
  </si>
  <si>
    <t>WA number</t>
  </si>
  <si>
    <t>Medical condition</t>
  </si>
  <si>
    <t>31-07-2007</t>
  </si>
  <si>
    <t>Goswamisikha7@gmail.com</t>
  </si>
  <si>
    <t>upasanaa.ray@gmail.com</t>
  </si>
  <si>
    <t>rajuajay123@gmail.com</t>
  </si>
  <si>
    <t>henyzalavadiya16@gmail.com</t>
  </si>
  <si>
    <t>Balasiewdor Wahlang</t>
  </si>
  <si>
    <t>17-03-2008</t>
  </si>
  <si>
    <t>varshinij173@gmail.com</t>
  </si>
  <si>
    <t>none</t>
  </si>
  <si>
    <t>30-09-2008</t>
  </si>
  <si>
    <t>dhriti.koujalgi@gmail.com</t>
  </si>
  <si>
    <t>amiyadas2512@gmail.com</t>
  </si>
  <si>
    <t>anneshabhowmik38@gmail.com</t>
  </si>
  <si>
    <t>meetsinghaastha0212@gmail.com</t>
  </si>
  <si>
    <t>Ananya vishvakant Upadhyay</t>
  </si>
  <si>
    <t>vishiac99@gmail.com</t>
  </si>
  <si>
    <t>nanditaparameshwaran07@gmail.com</t>
  </si>
  <si>
    <t>joshyvc0@gmail.com</t>
  </si>
  <si>
    <t>All good</t>
  </si>
  <si>
    <t>Moanasri330@gmail.com</t>
  </si>
  <si>
    <t>27-05-2008</t>
  </si>
  <si>
    <t>adwikhazarika69@gmail.com</t>
  </si>
  <si>
    <t>ishantrajliwal@gmail.com</t>
  </si>
  <si>
    <t>ted772006@gmail.com</t>
  </si>
  <si>
    <t>gurudattnishad74@gmail.com</t>
  </si>
  <si>
    <t>nothing</t>
  </si>
  <si>
    <t>Toran4507@gmail.com</t>
  </si>
  <si>
    <t>asahu90956@gmail.com</t>
  </si>
  <si>
    <t>atharvsawant38@gmail.com</t>
  </si>
  <si>
    <t>17-10-2006</t>
  </si>
  <si>
    <t>Mannatsaini6795@gmail.con</t>
  </si>
  <si>
    <t>No, completely fit</t>
  </si>
  <si>
    <t>chanduchahar7@gmail.com</t>
  </si>
  <si>
    <t>nabhannk123@gmail.com</t>
  </si>
  <si>
    <t>hishamswimmer7560@gmail.com</t>
  </si>
  <si>
    <t>29-07-2008</t>
  </si>
  <si>
    <t>No.</t>
  </si>
  <si>
    <t>James anderson Kharlyngdoh</t>
  </si>
  <si>
    <t>JamesandersonKharlyngdoh@gmail.com</t>
  </si>
  <si>
    <t>lakshayjindal84@gmail.com</t>
  </si>
  <si>
    <t>bajranggodara12062004@gmail.com</t>
  </si>
  <si>
    <t>Nhi</t>
  </si>
  <si>
    <t>manuvashistha232@gmail.com</t>
  </si>
  <si>
    <t>17-08-2007</t>
  </si>
  <si>
    <t>gundusangeetha22@gmail.com</t>
  </si>
  <si>
    <t>No medical</t>
  </si>
  <si>
    <t>22-12-2008</t>
  </si>
  <si>
    <t>rushilarush9@gmail.com</t>
  </si>
  <si>
    <t>aftabhossain2004@gmail.com</t>
  </si>
  <si>
    <t>nilashismajumder07@gmail.Com</t>
  </si>
  <si>
    <t>h69694568@gmail.com</t>
  </si>
  <si>
    <t>pradeepsahani2551@gmail.com</t>
  </si>
  <si>
    <t>harshawardhankaul@gmail.com</t>
  </si>
  <si>
    <t>wbtriathlon@gmail.com</t>
  </si>
  <si>
    <t>puskardas021@gmal.com</t>
  </si>
  <si>
    <t>rimoroy2380@gmail.com</t>
  </si>
  <si>
    <t>shirishyadav119@gmail.com</t>
  </si>
  <si>
    <t>angadviliningalekar@gmail.com</t>
  </si>
  <si>
    <t>hrishi3132@gmail.com</t>
  </si>
  <si>
    <t>sridathsudheer@gmail.com</t>
  </si>
  <si>
    <t>Akash P</t>
  </si>
  <si>
    <t>akashdevi2004@gmail.com</t>
  </si>
  <si>
    <t>anithaanitha31251@gmail.com</t>
  </si>
  <si>
    <t>lohitaksh8c27@gmail.com</t>
  </si>
  <si>
    <t>tushardhatterwal123@gmail.com</t>
  </si>
  <si>
    <t>rishumingu750@gmail.com</t>
  </si>
  <si>
    <t>All Good</t>
  </si>
  <si>
    <t>Punshibasandham2023@gmail.com</t>
  </si>
  <si>
    <t>akash_n@hre.iitr.ac.in</t>
  </si>
  <si>
    <t>SENIOR (54)</t>
  </si>
  <si>
    <t>SWEZIAL DSOUZA</t>
  </si>
  <si>
    <t>SWEZIALDSOUZA@GMAIL.COM</t>
  </si>
  <si>
    <t>NONE</t>
  </si>
  <si>
    <t>subhashsingh00207@gmail.com</t>
  </si>
  <si>
    <t>sardarsabita791@gmail.com</t>
  </si>
  <si>
    <t>13-04-2003</t>
  </si>
  <si>
    <t>rinkusinghjsr2003@gmail.com</t>
  </si>
  <si>
    <t>singhaadhya275@gmail.com</t>
  </si>
  <si>
    <t>nongmaithemsweety08@gmail.com</t>
  </si>
  <si>
    <t>snehaljoshiofficial1@gmail.com</t>
  </si>
  <si>
    <t>sreenandanaharidas@gmail.com</t>
  </si>
  <si>
    <t>aarthilatha2016@gmail.com</t>
  </si>
  <si>
    <t>Medhawini_k@ch.iitr.ac.in</t>
  </si>
  <si>
    <t>gouri_ps@ar.iitr.ac.in</t>
  </si>
  <si>
    <t>Swati Bonal</t>
  </si>
  <si>
    <t>swatibonal20@gmail.com</t>
  </si>
  <si>
    <t>manasksigireddi@gmail.com</t>
  </si>
  <si>
    <t>22-07-1992</t>
  </si>
  <si>
    <t>everestsattibabu@gmail.com</t>
  </si>
  <si>
    <t>perfect</t>
  </si>
  <si>
    <r>
      <rPr>
        <u/>
        <sz val="11"/>
        <color rgb="FF1155CC"/>
        <rFont val="Calibri"/>
      </rPr>
      <t>akanshukumar1999@gmail.com</t>
    </r>
  </si>
  <si>
    <t>N9</t>
  </si>
  <si>
    <t>riteshkumar430@gmail.com</t>
  </si>
  <si>
    <t>harivelip2670@gmail.com</t>
  </si>
  <si>
    <t>GOATRITAHLONASSOCIATION@GMAIL.COM</t>
  </si>
  <si>
    <t>Chaharchandu19@gmail.com</t>
  </si>
  <si>
    <t>vivekkumar11429@gmail.com</t>
  </si>
  <si>
    <t>21-02-2004</t>
  </si>
  <si>
    <t>hansdahnarendra21@gmail.com</t>
  </si>
  <si>
    <t>lalitharavivinod16@gmail.com</t>
  </si>
  <si>
    <t>prajapatiaman1533@gmail.com</t>
  </si>
  <si>
    <t>saikhombikash8@gmail.com</t>
  </si>
  <si>
    <t>velenjitlaikhuramvelenjit@gmail.com</t>
  </si>
  <si>
    <t>Willbornson Wahlang</t>
  </si>
  <si>
    <t>willbornson09@gmail.com</t>
  </si>
  <si>
    <t>swimanmolaj@gmail.com</t>
  </si>
  <si>
    <t>Gujukhalsa12@gmail.com</t>
  </si>
  <si>
    <t>Sukhmandeepsinghsukhman069@gmail.com</t>
  </si>
  <si>
    <t>sateeshbajiya@gmail.com</t>
  </si>
  <si>
    <t>h.hgaurav.kumar2014@gmail.com</t>
  </si>
  <si>
    <t>deysuvajit276@gmail.com</t>
  </si>
  <si>
    <t>vishnu630725@gmail.com</t>
  </si>
  <si>
    <t>26-09-1999</t>
  </si>
  <si>
    <t>ajendra086@gmail.com</t>
  </si>
  <si>
    <t>abhattacharya961@gmail.com</t>
  </si>
  <si>
    <t>Koushikmalandkar57@gmail.com</t>
  </si>
  <si>
    <t>varshankumar446@gmail.com</t>
  </si>
  <si>
    <t>tejashwarran@gmail.com</t>
  </si>
  <si>
    <t>17-08-1998</t>
  </si>
  <si>
    <t>Manan Rengwal</t>
  </si>
  <si>
    <t>manankumarcena432@gmail.com</t>
  </si>
  <si>
    <t>Non</t>
  </si>
  <si>
    <t>chatursinghrawat5@gmail.com</t>
  </si>
  <si>
    <t>vishuswim@gmail.com</t>
  </si>
  <si>
    <t>khundrakpamnganba2000@gmail.com</t>
  </si>
  <si>
    <t>pranavgupta1902@gmail.com</t>
  </si>
  <si>
    <t>rohit_r@ee.iitr.ac.in</t>
  </si>
  <si>
    <t>OPEN AGE GROUP (90)</t>
  </si>
  <si>
    <t>rajendrajagtap@001gmail.com</t>
  </si>
  <si>
    <t>anuraggond623@gmail.com</t>
  </si>
  <si>
    <t>cphogat599@gmail.com</t>
  </si>
  <si>
    <t>Krishna shrivas</t>
  </si>
  <si>
    <t>Madhya pradesh</t>
  </si>
  <si>
    <t>apekshashrivas827@gmail.com</t>
  </si>
  <si>
    <t>Noo</t>
  </si>
  <si>
    <t>lalitjadhav1072@gmail.com</t>
  </si>
  <si>
    <t>—</t>
  </si>
  <si>
    <t>tpogacar331@gmail.com</t>
  </si>
  <si>
    <t>roshansaikhom37@gmail.com</t>
  </si>
  <si>
    <t>PARA EVENT (TWISTED FLAT FOOT)</t>
  </si>
  <si>
    <t>sports143warrior@gmail.com</t>
  </si>
  <si>
    <t>smajumdar13@gmail.com</t>
  </si>
  <si>
    <t>khachneparth@gmail.com</t>
  </si>
  <si>
    <t>na</t>
  </si>
  <si>
    <t>hydraenginegaming12@gmail.com</t>
  </si>
  <si>
    <t>tanishqdeshpande07@gmail.com</t>
  </si>
  <si>
    <t>areen0506@gmail.com</t>
  </si>
  <si>
    <t>dhanashri1072@gmail.com</t>
  </si>
  <si>
    <t>denisetariang21@gmail.com</t>
  </si>
  <si>
    <t>20-12-2004</t>
  </si>
  <si>
    <t>13-07-2004</t>
  </si>
  <si>
    <t>aniketramdasmalwade@gmail.com</t>
  </si>
  <si>
    <t>dakshkhantedk@gmail.com</t>
  </si>
  <si>
    <t>tanmaybadola85@gmail.com</t>
  </si>
  <si>
    <t>Diabetes</t>
  </si>
  <si>
    <t>gulsongurumayum@gmail.com</t>
  </si>
  <si>
    <t>jamesandersonkharlyngdoh@gmail.com</t>
  </si>
  <si>
    <t>khansaad7542@gmail.com</t>
  </si>
  <si>
    <t>dhumalpawan2006@gmail.com</t>
  </si>
  <si>
    <t>Nope</t>
  </si>
  <si>
    <t>ibannongbet989@gmail.com</t>
  </si>
  <si>
    <t>learnearn413249@gmail.com</t>
  </si>
  <si>
    <t>hardikgundal42@gmail.com</t>
  </si>
  <si>
    <t>chatrapatiaryant@gmail.com</t>
  </si>
  <si>
    <t>jaidev.jnatesh@gmail.com</t>
  </si>
  <si>
    <t>tomjerrylourembam@gmail.com</t>
  </si>
  <si>
    <t>Physically fit</t>
  </si>
  <si>
    <t>rasalsumedhh@gmail.com</t>
  </si>
  <si>
    <t>Not applicable</t>
  </si>
  <si>
    <t>Glareenda Louiza Wahlang</t>
  </si>
  <si>
    <t>glareendalouizawahlang@gmail.com</t>
  </si>
  <si>
    <t>aashlesh.d@gmail.com</t>
  </si>
  <si>
    <t>Fir</t>
  </si>
  <si>
    <t>wllmsangma@gmail.com</t>
  </si>
  <si>
    <t>Mangaldas Budho Gaonkar</t>
  </si>
  <si>
    <t>Goa</t>
  </si>
  <si>
    <t>gaonkar70224@gmail.com</t>
  </si>
  <si>
    <t>abhi.onyx@gmail.com</t>
  </si>
  <si>
    <t>Satishpatange8749@gmail.com</t>
  </si>
  <si>
    <t>keeplearning0011@gmail.com</t>
  </si>
  <si>
    <t>somnathkatkar89@gmail.com</t>
  </si>
  <si>
    <t>Sunil.bdeore@gmail.com</t>
  </si>
  <si>
    <t>Sailee Gangakhedkar</t>
  </si>
  <si>
    <t>&lt;Added by Prasad&gt;</t>
  </si>
  <si>
    <t>aalokrunning@gmail.com</t>
  </si>
  <si>
    <t>ftspratap@gmail.com</t>
  </si>
  <si>
    <t>This is my 1st national</t>
  </si>
  <si>
    <t>pushkar.adsule@gmail.com</t>
  </si>
  <si>
    <t>venash.ashven@gmail.com</t>
  </si>
  <si>
    <t>David.isaac22@gmail.com</t>
  </si>
  <si>
    <t>iladotc@gmail.com</t>
  </si>
  <si>
    <t>Healthy</t>
  </si>
  <si>
    <t>Satyajit Joshi</t>
  </si>
  <si>
    <t>manojvanjari@gmail.com</t>
  </si>
  <si>
    <t>shivraj.nir2@gmail.com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</si>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</sst>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\ yyyy"/>
    <numFmt numFmtId="165" formatCode="d\ mmmm\ yyyy"/>
    <numFmt numFmtId="166" formatCode="mm/dd/yyyy"/>
    <numFmt numFmtId="167" formatCode="m/d/yyyy"/>
    <numFmt numFmtId="168" formatCode="mm\-dd\-yyyy"/>
    <numFmt numFmtId="169" formatCode="m\-d\-yyyy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name val="Calibri"/>
    </font>
    <font>
      <u/>
      <sz val="11"/>
      <color rgb="FF1155CC"/>
      <name val="Calibri"/>
    </font>
    <font>
      <u/>
      <sz val="11"/>
      <color rgb="FF0000FF"/>
      <name val="Calibri"/>
    </font>
    <font>
      <sz val="11"/>
      <color rgb="FF222222"/>
      <name val="Arial"/>
    </font>
    <font>
      <sz val="11"/>
      <color rgb="FF000000"/>
      <name val="Calibri"/>
    </font>
    <font>
      <sz val="11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AF9F9"/>
        <bgColor rgb="FFFA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5" borderId="1" xfId="0" applyFont="1" applyFill="1" applyBorder="1"/>
    <xf numFmtId="0" fontId="2" fillId="5" borderId="0" xfId="0" applyFont="1" applyFill="1"/>
    <xf numFmtId="164" fontId="3" fillId="0" borderId="1" xfId="0" applyNumberFormat="1" applyFont="1" applyBorder="1"/>
    <xf numFmtId="0" fontId="3" fillId="7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5" fontId="3" fillId="0" borderId="1" xfId="0" applyNumberFormat="1" applyFont="1" applyBorder="1"/>
    <xf numFmtId="0" fontId="3" fillId="8" borderId="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5" borderId="0" xfId="0" applyFont="1" applyFill="1"/>
    <xf numFmtId="0" fontId="3" fillId="10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2" borderId="1" xfId="0" applyFont="1" applyFill="1" applyBorder="1"/>
    <xf numFmtId="0" fontId="2" fillId="2" borderId="0" xfId="0" applyFont="1" applyFill="1"/>
    <xf numFmtId="0" fontId="3" fillId="11" borderId="1" xfId="0" applyFont="1" applyFill="1" applyBorder="1"/>
    <xf numFmtId="164" fontId="3" fillId="11" borderId="1" xfId="0" applyNumberFormat="1" applyFont="1" applyFill="1" applyBorder="1"/>
    <xf numFmtId="0" fontId="2" fillId="11" borderId="1" xfId="0" applyFont="1" applyFill="1" applyBorder="1"/>
    <xf numFmtId="10" fontId="3" fillId="0" borderId="1" xfId="0" applyNumberFormat="1" applyFont="1" applyBorder="1" applyAlignment="1">
      <alignment horizontal="center"/>
    </xf>
    <xf numFmtId="166" fontId="2" fillId="11" borderId="1" xfId="0" applyNumberFormat="1" applyFont="1" applyFill="1" applyBorder="1"/>
    <xf numFmtId="0" fontId="1" fillId="4" borderId="1" xfId="0" applyFont="1" applyFill="1" applyBorder="1"/>
    <xf numFmtId="0" fontId="3" fillId="0" borderId="0" xfId="0" applyFont="1" applyAlignment="1">
      <alignment horizontal="center" vertical="center"/>
    </xf>
    <xf numFmtId="0" fontId="8" fillId="0" borderId="1" xfId="0" applyFont="1" applyBorder="1"/>
    <xf numFmtId="21" fontId="8" fillId="0" borderId="1" xfId="0" applyNumberFormat="1" applyFont="1" applyBorder="1" applyAlignment="1">
      <alignment horizontal="right"/>
    </xf>
    <xf numFmtId="21" fontId="8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3" fillId="12" borderId="1" xfId="0" applyFont="1" applyFill="1" applyBorder="1"/>
    <xf numFmtId="0" fontId="2" fillId="12" borderId="1" xfId="0" applyFont="1" applyFill="1" applyBorder="1"/>
    <xf numFmtId="0" fontId="2" fillId="12" borderId="0" xfId="0" applyFont="1" applyFill="1"/>
    <xf numFmtId="0" fontId="3" fillId="13" borderId="1" xfId="0" applyFont="1" applyFill="1" applyBorder="1"/>
    <xf numFmtId="164" fontId="3" fillId="13" borderId="1" xfId="0" applyNumberFormat="1" applyFont="1" applyFill="1" applyBorder="1"/>
    <xf numFmtId="0" fontId="3" fillId="13" borderId="1" xfId="0" applyFont="1" applyFill="1" applyBorder="1" applyAlignment="1">
      <alignment horizontal="right"/>
    </xf>
    <xf numFmtId="0" fontId="2" fillId="13" borderId="1" xfId="0" applyFont="1" applyFill="1" applyBorder="1"/>
    <xf numFmtId="0" fontId="3" fillId="5" borderId="1" xfId="0" applyFont="1" applyFill="1" applyBorder="1"/>
    <xf numFmtId="168" fontId="3" fillId="0" borderId="1" xfId="0" applyNumberFormat="1" applyFont="1" applyBorder="1"/>
    <xf numFmtId="21" fontId="8" fillId="0" borderId="1" xfId="0" applyNumberFormat="1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11" borderId="0" xfId="0" applyFont="1" applyFill="1"/>
    <xf numFmtId="164" fontId="2" fillId="11" borderId="1" xfId="0" applyNumberFormat="1" applyFont="1" applyFill="1" applyBorder="1"/>
    <xf numFmtId="11" fontId="3" fillId="0" borderId="1" xfId="0" applyNumberFormat="1" applyFont="1" applyBorder="1" applyAlignment="1">
      <alignment horizontal="right"/>
    </xf>
    <xf numFmtId="4" fontId="1" fillId="0" borderId="1" xfId="0" applyNumberFormat="1" applyFont="1" applyBorder="1"/>
    <xf numFmtId="4" fontId="3" fillId="0" borderId="1" xfId="0" applyNumberFormat="1" applyFont="1" applyBorder="1" applyAlignment="1">
      <alignment horizontal="right"/>
    </xf>
    <xf numFmtId="0" fontId="2" fillId="14" borderId="0" xfId="0" applyFont="1" applyFill="1"/>
    <xf numFmtId="4" fontId="2" fillId="0" borderId="1" xfId="0" applyNumberFormat="1" applyFont="1" applyBorder="1"/>
    <xf numFmtId="169" fontId="3" fillId="0" borderId="1" xfId="0" applyNumberFormat="1" applyFont="1" applyBorder="1"/>
    <xf numFmtId="168" fontId="3" fillId="11" borderId="1" xfId="0" applyNumberFormat="1" applyFont="1" applyFill="1" applyBorder="1"/>
    <xf numFmtId="4" fontId="2" fillId="5" borderId="1" xfId="0" applyNumberFormat="1" applyFont="1" applyFill="1" applyBorder="1"/>
    <xf numFmtId="4" fontId="3" fillId="0" borderId="1" xfId="0" applyNumberFormat="1" applyFont="1" applyBorder="1"/>
    <xf numFmtId="4" fontId="3" fillId="13" borderId="1" xfId="0" applyNumberFormat="1" applyFont="1" applyFill="1" applyBorder="1"/>
    <xf numFmtId="164" fontId="3" fillId="15" borderId="1" xfId="0" applyNumberFormat="1" applyFont="1" applyFill="1" applyBorder="1"/>
    <xf numFmtId="4" fontId="2" fillId="16" borderId="1" xfId="0" applyNumberFormat="1" applyFont="1" applyFill="1" applyBorder="1"/>
    <xf numFmtId="4" fontId="2" fillId="13" borderId="1" xfId="0" applyNumberFormat="1" applyFont="1" applyFill="1" applyBorder="1"/>
    <xf numFmtId="0" fontId="2" fillId="13" borderId="0" xfId="0" applyFont="1" applyFill="1"/>
    <xf numFmtId="4" fontId="2" fillId="0" borderId="0" xfId="0" applyNumberFormat="1" applyFont="1"/>
    <xf numFmtId="0" fontId="2" fillId="17" borderId="0" xfId="0" applyFont="1" applyFill="1"/>
    <xf numFmtId="0" fontId="3" fillId="6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4" borderId="2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rmaleacademy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pparasports@gmail.com" TargetMode="External"/><Relationship Id="rId13" Type="http://schemas.openxmlformats.org/officeDocument/2006/relationships/hyperlink" Target="mailto:apparasports@gmail.com" TargetMode="External"/><Relationship Id="rId18" Type="http://schemas.openxmlformats.org/officeDocument/2006/relationships/hyperlink" Target="mailto:apparasports@gmail.com" TargetMode="External"/><Relationship Id="rId3" Type="http://schemas.openxmlformats.org/officeDocument/2006/relationships/hyperlink" Target="mailto:apparasports@gmail.com" TargetMode="External"/><Relationship Id="rId21" Type="http://schemas.openxmlformats.org/officeDocument/2006/relationships/hyperlink" Target="mailto:apparasports@gmail.com" TargetMode="External"/><Relationship Id="rId7" Type="http://schemas.openxmlformats.org/officeDocument/2006/relationships/hyperlink" Target="mailto:apparasports@gmail.com" TargetMode="External"/><Relationship Id="rId12" Type="http://schemas.openxmlformats.org/officeDocument/2006/relationships/hyperlink" Target="mailto:apparasports@gmail.com" TargetMode="External"/><Relationship Id="rId17" Type="http://schemas.openxmlformats.org/officeDocument/2006/relationships/hyperlink" Target="mailto:apparasports@gmail.com" TargetMode="External"/><Relationship Id="rId2" Type="http://schemas.openxmlformats.org/officeDocument/2006/relationships/hyperlink" Target="mailto:apparasports@gmail.com" TargetMode="External"/><Relationship Id="rId16" Type="http://schemas.openxmlformats.org/officeDocument/2006/relationships/hyperlink" Target="mailto:apparasports@gmail.com" TargetMode="External"/><Relationship Id="rId20" Type="http://schemas.openxmlformats.org/officeDocument/2006/relationships/hyperlink" Target="mailto:apparasports@gmail.com" TargetMode="External"/><Relationship Id="rId1" Type="http://schemas.openxmlformats.org/officeDocument/2006/relationships/hyperlink" Target="mailto:apparasports@gmail.com" TargetMode="External"/><Relationship Id="rId6" Type="http://schemas.openxmlformats.org/officeDocument/2006/relationships/hyperlink" Target="mailto:apparasports@gmail.com" TargetMode="External"/><Relationship Id="rId11" Type="http://schemas.openxmlformats.org/officeDocument/2006/relationships/hyperlink" Target="mailto:apparasports@gmail.com" TargetMode="External"/><Relationship Id="rId5" Type="http://schemas.openxmlformats.org/officeDocument/2006/relationships/hyperlink" Target="mailto:apparasports@gmail.com" TargetMode="External"/><Relationship Id="rId15" Type="http://schemas.openxmlformats.org/officeDocument/2006/relationships/hyperlink" Target="mailto:apparasports@gmail.com" TargetMode="External"/><Relationship Id="rId10" Type="http://schemas.openxmlformats.org/officeDocument/2006/relationships/hyperlink" Target="mailto:apparasports@gmail.com" TargetMode="External"/><Relationship Id="rId19" Type="http://schemas.openxmlformats.org/officeDocument/2006/relationships/hyperlink" Target="mailto:apparasports@gmail.com" TargetMode="External"/><Relationship Id="rId4" Type="http://schemas.openxmlformats.org/officeDocument/2006/relationships/hyperlink" Target="mailto:apparasports@gmail.com" TargetMode="External"/><Relationship Id="rId9" Type="http://schemas.openxmlformats.org/officeDocument/2006/relationships/hyperlink" Target="mailto:apparasports@gmail.com" TargetMode="External"/><Relationship Id="rId14" Type="http://schemas.openxmlformats.org/officeDocument/2006/relationships/hyperlink" Target="mailto:apparasports@gmail.com" TargetMode="External"/><Relationship Id="rId22" Type="http://schemas.openxmlformats.org/officeDocument/2006/relationships/hyperlink" Target="mailto:akanshukumar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pane ySplit="1" topLeftCell="A2" activePane="bottomLeft" state="frozen"/>
      <selection pane="bottomLeft" activeCell="P14" sqref="P14"/>
    </sheetView>
  </sheetViews>
  <sheetFormatPr defaultColWidth="14.44140625" defaultRowHeight="15" customHeight="1"/>
  <cols>
    <col min="1" max="1" width="4" bestFit="1" customWidth="1"/>
    <col min="2" max="2" width="11.33203125" bestFit="1" customWidth="1"/>
    <col min="3" max="3" width="7.109375" bestFit="1" customWidth="1"/>
    <col min="4" max="4" width="32.44140625" bestFit="1" customWidth="1"/>
    <col min="5" max="5" width="16.44140625" bestFit="1" customWidth="1"/>
    <col min="6" max="7" width="8.109375" bestFit="1" customWidth="1"/>
    <col min="8" max="8" width="9.109375" bestFit="1" customWidth="1"/>
    <col min="9" max="10" width="8.109375" bestFit="1" customWidth="1"/>
    <col min="11" max="11" width="9.77734375" bestFit="1" customWidth="1"/>
    <col min="12" max="12" width="8.6640625" bestFit="1" customWidth="1"/>
    <col min="13" max="19" width="8.6640625" customWidth="1"/>
  </cols>
  <sheetData>
    <row r="1" spans="1:19" ht="14.25" customHeight="1">
      <c r="A1" s="2" t="s">
        <v>1</v>
      </c>
      <c r="B1" s="2" t="s">
        <v>3</v>
      </c>
      <c r="C1" s="4" t="s">
        <v>4</v>
      </c>
      <c r="D1" s="2" t="s">
        <v>0</v>
      </c>
      <c r="E1" s="2" t="s">
        <v>5</v>
      </c>
      <c r="F1" s="2" t="s">
        <v>7</v>
      </c>
      <c r="G1" s="2" t="s">
        <v>8</v>
      </c>
      <c r="H1" s="2" t="s">
        <v>11</v>
      </c>
      <c r="I1" s="2" t="s">
        <v>12</v>
      </c>
      <c r="J1" s="2" t="s">
        <v>15</v>
      </c>
      <c r="K1" s="6" t="s">
        <v>9</v>
      </c>
      <c r="L1" s="4" t="s">
        <v>14</v>
      </c>
      <c r="M1" s="8"/>
      <c r="N1" s="8"/>
      <c r="O1" s="8"/>
      <c r="P1" s="8"/>
      <c r="Q1" s="8"/>
      <c r="R1" s="8"/>
      <c r="S1" s="8"/>
    </row>
    <row r="2" spans="1:19" ht="14.25" customHeight="1">
      <c r="A2" s="10">
        <v>405</v>
      </c>
      <c r="B2" s="10" t="s">
        <v>22</v>
      </c>
      <c r="C2" s="12" t="s">
        <v>23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s">
        <v>31</v>
      </c>
      <c r="K2" s="13" t="s">
        <v>32</v>
      </c>
      <c r="L2" s="12" t="s">
        <v>34</v>
      </c>
    </row>
    <row r="3" spans="1:19" ht="14.25" customHeight="1">
      <c r="A3" s="10">
        <v>409</v>
      </c>
      <c r="B3" s="10" t="s">
        <v>22</v>
      </c>
      <c r="C3" s="12" t="s">
        <v>23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  <c r="I3" s="10" t="s">
        <v>40</v>
      </c>
      <c r="J3" s="10" t="s">
        <v>41</v>
      </c>
      <c r="K3" s="13" t="s">
        <v>42</v>
      </c>
      <c r="L3" s="12" t="s">
        <v>43</v>
      </c>
    </row>
    <row r="4" spans="1:19" ht="14.25" customHeight="1">
      <c r="A4" s="10">
        <v>407</v>
      </c>
      <c r="B4" s="10" t="s">
        <v>22</v>
      </c>
      <c r="C4" s="12" t="s">
        <v>23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3" t="s">
        <v>51</v>
      </c>
      <c r="L4" s="12" t="s">
        <v>52</v>
      </c>
    </row>
    <row r="5" spans="1:19" ht="14.25" customHeight="1">
      <c r="A5" s="10">
        <v>406</v>
      </c>
      <c r="B5" s="10" t="s">
        <v>22</v>
      </c>
      <c r="C5" s="12" t="s">
        <v>23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3" t="s">
        <v>60</v>
      </c>
      <c r="L5" s="12" t="s">
        <v>61</v>
      </c>
    </row>
    <row r="6" spans="1:19" ht="14.25" customHeight="1">
      <c r="A6" s="10">
        <v>402</v>
      </c>
      <c r="B6" s="10" t="s">
        <v>22</v>
      </c>
      <c r="C6" s="12" t="s">
        <v>23</v>
      </c>
      <c r="D6" s="10" t="s">
        <v>62</v>
      </c>
      <c r="E6" s="10" t="s">
        <v>36</v>
      </c>
      <c r="F6" s="10" t="s">
        <v>63</v>
      </c>
      <c r="G6" s="10" t="s">
        <v>64</v>
      </c>
      <c r="H6" s="10" t="s">
        <v>66</v>
      </c>
      <c r="I6" s="10" t="s">
        <v>67</v>
      </c>
      <c r="J6" s="10" t="s">
        <v>68</v>
      </c>
      <c r="K6" s="13" t="s">
        <v>69</v>
      </c>
      <c r="L6" s="12" t="s">
        <v>70</v>
      </c>
    </row>
    <row r="7" spans="1:19" ht="14.25" customHeight="1">
      <c r="A7" s="10">
        <v>412</v>
      </c>
      <c r="B7" s="10" t="s">
        <v>22</v>
      </c>
      <c r="C7" s="12" t="s">
        <v>23</v>
      </c>
      <c r="D7" s="10" t="s">
        <v>71</v>
      </c>
      <c r="E7" s="10" t="s">
        <v>72</v>
      </c>
      <c r="F7" s="10" t="s">
        <v>73</v>
      </c>
      <c r="G7" s="10" t="s">
        <v>74</v>
      </c>
      <c r="H7" s="10" t="s">
        <v>75</v>
      </c>
      <c r="I7" s="10" t="s">
        <v>76</v>
      </c>
      <c r="J7" s="10" t="s">
        <v>77</v>
      </c>
      <c r="K7" s="13" t="s">
        <v>78</v>
      </c>
      <c r="L7" s="12" t="s">
        <v>79</v>
      </c>
    </row>
    <row r="8" spans="1:19" ht="14.25" customHeight="1">
      <c r="A8" s="10">
        <v>403</v>
      </c>
      <c r="B8" s="10" t="s">
        <v>22</v>
      </c>
      <c r="C8" s="12" t="s">
        <v>23</v>
      </c>
      <c r="D8" s="10" t="s">
        <v>80</v>
      </c>
      <c r="E8" s="10" t="s">
        <v>81</v>
      </c>
      <c r="F8" s="10" t="s">
        <v>82</v>
      </c>
      <c r="G8" s="10" t="s">
        <v>83</v>
      </c>
      <c r="H8" s="10" t="s">
        <v>84</v>
      </c>
      <c r="I8" s="10" t="s">
        <v>85</v>
      </c>
      <c r="J8" s="10" t="s">
        <v>87</v>
      </c>
      <c r="K8" s="13" t="s">
        <v>88</v>
      </c>
      <c r="L8" s="12" t="s">
        <v>90</v>
      </c>
    </row>
    <row r="9" spans="1:19" ht="14.25" customHeight="1">
      <c r="A9" s="10">
        <v>410</v>
      </c>
      <c r="B9" s="10" t="s">
        <v>22</v>
      </c>
      <c r="C9" s="12" t="s">
        <v>23</v>
      </c>
      <c r="D9" s="10" t="s">
        <v>92</v>
      </c>
      <c r="E9" s="10" t="s">
        <v>93</v>
      </c>
      <c r="F9" s="10" t="s">
        <v>94</v>
      </c>
      <c r="G9" s="10" t="s">
        <v>95</v>
      </c>
      <c r="H9" s="10" t="s">
        <v>96</v>
      </c>
      <c r="I9" s="10" t="s">
        <v>97</v>
      </c>
      <c r="J9" s="10" t="s">
        <v>98</v>
      </c>
      <c r="K9" s="13" t="s">
        <v>99</v>
      </c>
      <c r="L9" s="12" t="s">
        <v>100</v>
      </c>
    </row>
    <row r="10" spans="1:19" ht="14.25" customHeight="1">
      <c r="A10" s="10">
        <v>401</v>
      </c>
      <c r="B10" s="10" t="s">
        <v>22</v>
      </c>
      <c r="C10" s="12" t="s">
        <v>23</v>
      </c>
      <c r="D10" s="10" t="s">
        <v>101</v>
      </c>
      <c r="E10" s="10" t="s">
        <v>93</v>
      </c>
      <c r="F10" s="10" t="s">
        <v>102</v>
      </c>
      <c r="G10" s="10" t="s">
        <v>103</v>
      </c>
      <c r="H10" s="10" t="s">
        <v>104</v>
      </c>
      <c r="I10" s="10" t="s">
        <v>105</v>
      </c>
      <c r="J10" s="10" t="s">
        <v>106</v>
      </c>
      <c r="K10" s="13" t="s">
        <v>108</v>
      </c>
      <c r="L10" s="12" t="s">
        <v>109</v>
      </c>
    </row>
    <row r="11" spans="1:19" ht="14.25" customHeight="1">
      <c r="A11" s="10">
        <v>408</v>
      </c>
      <c r="B11" s="10" t="s">
        <v>22</v>
      </c>
      <c r="C11" s="12" t="s">
        <v>23</v>
      </c>
      <c r="D11" s="10" t="s">
        <v>111</v>
      </c>
      <c r="E11" s="10" t="s">
        <v>112</v>
      </c>
      <c r="F11" s="10" t="s">
        <v>114</v>
      </c>
      <c r="G11" s="10" t="s">
        <v>115</v>
      </c>
      <c r="H11" s="10" t="s">
        <v>116</v>
      </c>
      <c r="I11" s="10" t="s">
        <v>117</v>
      </c>
      <c r="J11" s="10" t="s">
        <v>118</v>
      </c>
      <c r="K11" s="13" t="s">
        <v>119</v>
      </c>
      <c r="L11" s="12" t="s">
        <v>120</v>
      </c>
    </row>
    <row r="12" spans="1:19" ht="14.25" customHeight="1">
      <c r="A12" s="10">
        <v>404</v>
      </c>
      <c r="B12" s="10" t="s">
        <v>22</v>
      </c>
      <c r="C12" s="12" t="s">
        <v>23</v>
      </c>
      <c r="D12" s="10" t="s">
        <v>121</v>
      </c>
      <c r="E12" s="10" t="s">
        <v>36</v>
      </c>
      <c r="F12" s="10" t="s">
        <v>122</v>
      </c>
      <c r="G12" s="10" t="s">
        <v>123</v>
      </c>
      <c r="H12" s="10" t="s">
        <v>124</v>
      </c>
      <c r="I12" s="10" t="s">
        <v>125</v>
      </c>
      <c r="J12" s="10" t="s">
        <v>126</v>
      </c>
      <c r="K12" s="13" t="s">
        <v>127</v>
      </c>
      <c r="L12" s="12" t="s">
        <v>128</v>
      </c>
    </row>
    <row r="13" spans="1:19" ht="14.25" customHeight="1">
      <c r="A13" s="10">
        <v>411</v>
      </c>
      <c r="B13" s="10" t="s">
        <v>22</v>
      </c>
      <c r="C13" s="12" t="s">
        <v>23</v>
      </c>
      <c r="D13" s="10" t="s">
        <v>130</v>
      </c>
      <c r="E13" s="10" t="s">
        <v>112</v>
      </c>
      <c r="F13" s="10" t="s">
        <v>133</v>
      </c>
      <c r="G13" s="10" t="s">
        <v>134</v>
      </c>
      <c r="H13" s="10" t="s">
        <v>136</v>
      </c>
      <c r="I13" s="10" t="s">
        <v>137</v>
      </c>
      <c r="J13" s="10" t="s">
        <v>138</v>
      </c>
      <c r="K13" s="13" t="s">
        <v>139</v>
      </c>
      <c r="L13" s="12" t="s">
        <v>140</v>
      </c>
    </row>
    <row r="14" spans="1:19" ht="14.25" customHeight="1">
      <c r="A14" s="10">
        <v>448</v>
      </c>
      <c r="B14" s="10" t="s">
        <v>22</v>
      </c>
      <c r="C14" s="12" t="s">
        <v>141</v>
      </c>
      <c r="D14" s="10" t="s">
        <v>143</v>
      </c>
      <c r="E14" s="10" t="s">
        <v>45</v>
      </c>
      <c r="F14" s="10" t="s">
        <v>144</v>
      </c>
      <c r="G14" s="10" t="s">
        <v>145</v>
      </c>
      <c r="H14" s="10" t="s">
        <v>146</v>
      </c>
      <c r="I14" s="10" t="s">
        <v>147</v>
      </c>
      <c r="J14" s="10" t="s">
        <v>149</v>
      </c>
      <c r="K14" s="13" t="s">
        <v>152</v>
      </c>
      <c r="L14" s="12" t="s">
        <v>34</v>
      </c>
    </row>
    <row r="15" spans="1:19" ht="14.25" customHeight="1">
      <c r="A15" s="10">
        <v>437</v>
      </c>
      <c r="B15" s="10" t="s">
        <v>22</v>
      </c>
      <c r="C15" s="12" t="s">
        <v>141</v>
      </c>
      <c r="D15" s="10" t="s">
        <v>154</v>
      </c>
      <c r="E15" s="10" t="s">
        <v>155</v>
      </c>
      <c r="F15" s="10" t="s">
        <v>156</v>
      </c>
      <c r="G15" s="10" t="s">
        <v>157</v>
      </c>
      <c r="H15" s="10" t="s">
        <v>158</v>
      </c>
      <c r="I15" s="10" t="s">
        <v>159</v>
      </c>
      <c r="J15" s="10" t="s">
        <v>160</v>
      </c>
      <c r="K15" s="13" t="s">
        <v>161</v>
      </c>
      <c r="L15" s="12" t="s">
        <v>43</v>
      </c>
    </row>
    <row r="16" spans="1:19" ht="14.25" customHeight="1">
      <c r="A16" s="10">
        <v>430</v>
      </c>
      <c r="B16" s="10" t="s">
        <v>22</v>
      </c>
      <c r="C16" s="12" t="s">
        <v>141</v>
      </c>
      <c r="D16" s="10" t="s">
        <v>162</v>
      </c>
      <c r="E16" s="10" t="s">
        <v>45</v>
      </c>
      <c r="F16" s="10" t="s">
        <v>164</v>
      </c>
      <c r="G16" s="10" t="s">
        <v>165</v>
      </c>
      <c r="H16" s="10" t="s">
        <v>166</v>
      </c>
      <c r="I16" s="10" t="s">
        <v>168</v>
      </c>
      <c r="J16" s="10" t="s">
        <v>169</v>
      </c>
      <c r="K16" s="13" t="s">
        <v>171</v>
      </c>
      <c r="L16" s="12" t="s">
        <v>52</v>
      </c>
    </row>
    <row r="17" spans="1:12" ht="14.25" customHeight="1">
      <c r="A17" s="10">
        <v>442</v>
      </c>
      <c r="B17" s="10" t="s">
        <v>22</v>
      </c>
      <c r="C17" s="12" t="s">
        <v>141</v>
      </c>
      <c r="D17" s="10" t="s">
        <v>173</v>
      </c>
      <c r="E17" s="10" t="s">
        <v>93</v>
      </c>
      <c r="F17" s="10" t="s">
        <v>174</v>
      </c>
      <c r="G17" s="10" t="s">
        <v>175</v>
      </c>
      <c r="H17" s="10" t="s">
        <v>176</v>
      </c>
      <c r="I17" s="10" t="s">
        <v>178</v>
      </c>
      <c r="J17" s="10" t="s">
        <v>179</v>
      </c>
      <c r="K17" s="13" t="s">
        <v>181</v>
      </c>
      <c r="L17" s="12" t="s">
        <v>61</v>
      </c>
    </row>
    <row r="18" spans="1:12" ht="14.25" customHeight="1">
      <c r="A18" s="10">
        <v>419</v>
      </c>
      <c r="B18" s="10" t="s">
        <v>22</v>
      </c>
      <c r="C18" s="12" t="s">
        <v>141</v>
      </c>
      <c r="D18" s="10" t="s">
        <v>185</v>
      </c>
      <c r="E18" s="10" t="s">
        <v>186</v>
      </c>
      <c r="F18" s="10" t="s">
        <v>187</v>
      </c>
      <c r="G18" s="10" t="s">
        <v>188</v>
      </c>
      <c r="H18" s="10" t="s">
        <v>189</v>
      </c>
      <c r="I18" s="10" t="s">
        <v>190</v>
      </c>
      <c r="J18" s="10" t="s">
        <v>191</v>
      </c>
      <c r="K18" s="13" t="s">
        <v>192</v>
      </c>
      <c r="L18" s="12" t="s">
        <v>70</v>
      </c>
    </row>
    <row r="19" spans="1:12" ht="14.25" customHeight="1">
      <c r="A19" s="10">
        <v>434</v>
      </c>
      <c r="B19" s="10" t="s">
        <v>22</v>
      </c>
      <c r="C19" s="12" t="s">
        <v>141</v>
      </c>
      <c r="D19" s="10" t="s">
        <v>193</v>
      </c>
      <c r="E19" s="10" t="s">
        <v>194</v>
      </c>
      <c r="F19" s="10" t="s">
        <v>195</v>
      </c>
      <c r="G19" s="10" t="s">
        <v>197</v>
      </c>
      <c r="H19" s="10" t="s">
        <v>198</v>
      </c>
      <c r="I19" s="10" t="s">
        <v>200</v>
      </c>
      <c r="J19" s="10" t="s">
        <v>201</v>
      </c>
      <c r="K19" s="13" t="s">
        <v>202</v>
      </c>
      <c r="L19" s="12" t="s">
        <v>79</v>
      </c>
    </row>
    <row r="20" spans="1:12" ht="14.25" customHeight="1">
      <c r="A20" s="10">
        <v>439</v>
      </c>
      <c r="B20" s="10" t="s">
        <v>22</v>
      </c>
      <c r="C20" s="12" t="s">
        <v>141</v>
      </c>
      <c r="D20" s="10" t="s">
        <v>205</v>
      </c>
      <c r="E20" s="10" t="s">
        <v>36</v>
      </c>
      <c r="F20" s="10" t="s">
        <v>207</v>
      </c>
      <c r="G20" s="10" t="s">
        <v>208</v>
      </c>
      <c r="H20" s="10" t="s">
        <v>209</v>
      </c>
      <c r="I20" s="10" t="s">
        <v>212</v>
      </c>
      <c r="J20" s="10" t="s">
        <v>213</v>
      </c>
      <c r="K20" s="13" t="s">
        <v>214</v>
      </c>
      <c r="L20" s="12" t="s">
        <v>90</v>
      </c>
    </row>
    <row r="21" spans="1:12" ht="14.25" customHeight="1">
      <c r="A21" s="10">
        <v>449</v>
      </c>
      <c r="B21" s="10" t="s">
        <v>22</v>
      </c>
      <c r="C21" s="12" t="s">
        <v>141</v>
      </c>
      <c r="D21" s="10" t="s">
        <v>215</v>
      </c>
      <c r="E21" s="10" t="s">
        <v>216</v>
      </c>
      <c r="F21" s="10" t="s">
        <v>217</v>
      </c>
      <c r="G21" s="10" t="s">
        <v>218</v>
      </c>
      <c r="H21" s="10" t="s">
        <v>219</v>
      </c>
      <c r="I21" s="10" t="s">
        <v>220</v>
      </c>
      <c r="J21" s="10" t="s">
        <v>221</v>
      </c>
      <c r="K21" s="13" t="s">
        <v>222</v>
      </c>
      <c r="L21" s="12" t="s">
        <v>100</v>
      </c>
    </row>
    <row r="22" spans="1:12" ht="14.25" customHeight="1">
      <c r="A22" s="10">
        <v>450</v>
      </c>
      <c r="B22" s="10" t="s">
        <v>22</v>
      </c>
      <c r="C22" s="12" t="s">
        <v>141</v>
      </c>
      <c r="D22" s="10" t="s">
        <v>225</v>
      </c>
      <c r="E22" s="10" t="s">
        <v>72</v>
      </c>
      <c r="F22" s="10" t="s">
        <v>226</v>
      </c>
      <c r="G22" s="10" t="s">
        <v>227</v>
      </c>
      <c r="H22" s="10" t="s">
        <v>228</v>
      </c>
      <c r="I22" s="10" t="s">
        <v>229</v>
      </c>
      <c r="J22" s="10" t="s">
        <v>230</v>
      </c>
      <c r="K22" s="13" t="s">
        <v>231</v>
      </c>
      <c r="L22" s="12" t="s">
        <v>109</v>
      </c>
    </row>
    <row r="23" spans="1:12" ht="14.25" customHeight="1">
      <c r="A23" s="10">
        <v>415</v>
      </c>
      <c r="B23" s="10" t="s">
        <v>22</v>
      </c>
      <c r="C23" s="12" t="s">
        <v>141</v>
      </c>
      <c r="D23" s="10" t="s">
        <v>233</v>
      </c>
      <c r="E23" s="10" t="s">
        <v>36</v>
      </c>
      <c r="F23" s="10" t="s">
        <v>235</v>
      </c>
      <c r="G23" s="10" t="s">
        <v>237</v>
      </c>
      <c r="H23" s="10" t="s">
        <v>239</v>
      </c>
      <c r="I23" s="10" t="s">
        <v>240</v>
      </c>
      <c r="J23" s="10" t="s">
        <v>242</v>
      </c>
      <c r="K23" s="13" t="s">
        <v>244</v>
      </c>
      <c r="L23" s="12" t="s">
        <v>120</v>
      </c>
    </row>
    <row r="24" spans="1:12" ht="14.25" customHeight="1">
      <c r="A24" s="10">
        <v>444</v>
      </c>
      <c r="B24" s="10" t="s">
        <v>22</v>
      </c>
      <c r="C24" s="12" t="s">
        <v>141</v>
      </c>
      <c r="D24" s="10" t="s">
        <v>246</v>
      </c>
      <c r="E24" s="10" t="s">
        <v>36</v>
      </c>
      <c r="F24" s="10" t="s">
        <v>247</v>
      </c>
      <c r="G24" s="10" t="s">
        <v>249</v>
      </c>
      <c r="H24" s="10" t="s">
        <v>251</v>
      </c>
      <c r="I24" s="10" t="s">
        <v>252</v>
      </c>
      <c r="J24" s="10" t="s">
        <v>253</v>
      </c>
      <c r="K24" s="13" t="s">
        <v>254</v>
      </c>
      <c r="L24" s="12" t="s">
        <v>128</v>
      </c>
    </row>
    <row r="25" spans="1:12" ht="14.25" customHeight="1">
      <c r="A25" s="10">
        <v>423</v>
      </c>
      <c r="B25" s="10" t="s">
        <v>22</v>
      </c>
      <c r="C25" s="12" t="s">
        <v>141</v>
      </c>
      <c r="D25" s="10" t="s">
        <v>256</v>
      </c>
      <c r="E25" s="10" t="s">
        <v>257</v>
      </c>
      <c r="F25" s="10" t="s">
        <v>261</v>
      </c>
      <c r="G25" s="10" t="s">
        <v>263</v>
      </c>
      <c r="H25" s="10" t="s">
        <v>265</v>
      </c>
      <c r="I25" s="10" t="s">
        <v>267</v>
      </c>
      <c r="J25" s="10" t="s">
        <v>268</v>
      </c>
      <c r="K25" s="13" t="s">
        <v>269</v>
      </c>
      <c r="L25" s="12" t="s">
        <v>140</v>
      </c>
    </row>
    <row r="26" spans="1:12" ht="14.25" customHeight="1">
      <c r="A26" s="10">
        <v>440</v>
      </c>
      <c r="B26" s="10" t="s">
        <v>22</v>
      </c>
      <c r="C26" s="12" t="s">
        <v>141</v>
      </c>
      <c r="D26" s="10" t="s">
        <v>271</v>
      </c>
      <c r="E26" s="10" t="s">
        <v>257</v>
      </c>
      <c r="F26" s="10" t="s">
        <v>273</v>
      </c>
      <c r="G26" s="10" t="s">
        <v>274</v>
      </c>
      <c r="H26" s="10" t="s">
        <v>276</v>
      </c>
      <c r="I26" s="10" t="s">
        <v>278</v>
      </c>
      <c r="J26" s="10" t="s">
        <v>280</v>
      </c>
      <c r="K26" s="13" t="s">
        <v>282</v>
      </c>
      <c r="L26" s="12" t="s">
        <v>284</v>
      </c>
    </row>
    <row r="27" spans="1:12" ht="14.25" customHeight="1">
      <c r="A27" s="10">
        <v>420</v>
      </c>
      <c r="B27" s="10" t="s">
        <v>22</v>
      </c>
      <c r="C27" s="12" t="s">
        <v>141</v>
      </c>
      <c r="D27" s="10" t="s">
        <v>285</v>
      </c>
      <c r="E27" s="10" t="s">
        <v>216</v>
      </c>
      <c r="F27" s="10" t="s">
        <v>286</v>
      </c>
      <c r="G27" s="10" t="s">
        <v>287</v>
      </c>
      <c r="H27" s="10" t="s">
        <v>289</v>
      </c>
      <c r="I27" s="10" t="s">
        <v>290</v>
      </c>
      <c r="J27" s="10" t="s">
        <v>291</v>
      </c>
      <c r="K27" s="13" t="s">
        <v>293</v>
      </c>
      <c r="L27" s="12" t="s">
        <v>296</v>
      </c>
    </row>
    <row r="28" spans="1:12" ht="14.25" customHeight="1">
      <c r="A28" s="10">
        <v>452</v>
      </c>
      <c r="B28" s="10" t="s">
        <v>22</v>
      </c>
      <c r="C28" s="12" t="s">
        <v>141</v>
      </c>
      <c r="D28" s="10" t="s">
        <v>300</v>
      </c>
      <c r="E28" s="10" t="s">
        <v>301</v>
      </c>
      <c r="F28" s="10" t="s">
        <v>302</v>
      </c>
      <c r="G28" s="10" t="s">
        <v>303</v>
      </c>
      <c r="H28" s="10" t="s">
        <v>304</v>
      </c>
      <c r="I28" s="10" t="s">
        <v>305</v>
      </c>
      <c r="J28" s="10" t="s">
        <v>306</v>
      </c>
      <c r="K28" s="13" t="s">
        <v>307</v>
      </c>
      <c r="L28" s="12" t="s">
        <v>309</v>
      </c>
    </row>
    <row r="29" spans="1:12" ht="14.25" customHeight="1">
      <c r="A29" s="10">
        <v>438</v>
      </c>
      <c r="B29" s="10" t="s">
        <v>22</v>
      </c>
      <c r="C29" s="12" t="s">
        <v>141</v>
      </c>
      <c r="D29" s="10" t="s">
        <v>311</v>
      </c>
      <c r="E29" s="10" t="s">
        <v>313</v>
      </c>
      <c r="F29" s="10" t="s">
        <v>314</v>
      </c>
      <c r="G29" s="10" t="s">
        <v>315</v>
      </c>
      <c r="H29" s="10" t="s">
        <v>316</v>
      </c>
      <c r="I29" s="10" t="s">
        <v>317</v>
      </c>
      <c r="J29" s="10" t="s">
        <v>318</v>
      </c>
      <c r="K29" s="13" t="s">
        <v>320</v>
      </c>
      <c r="L29" s="12" t="s">
        <v>321</v>
      </c>
    </row>
    <row r="30" spans="1:12" ht="14.25" customHeight="1">
      <c r="A30" s="10">
        <v>428</v>
      </c>
      <c r="B30" s="10" t="s">
        <v>22</v>
      </c>
      <c r="C30" s="12" t="s">
        <v>141</v>
      </c>
      <c r="D30" s="10" t="s">
        <v>323</v>
      </c>
      <c r="E30" s="10" t="s">
        <v>155</v>
      </c>
      <c r="F30" s="10" t="s">
        <v>324</v>
      </c>
      <c r="G30" s="10" t="s">
        <v>325</v>
      </c>
      <c r="H30" s="10" t="s">
        <v>326</v>
      </c>
      <c r="I30" s="10" t="s">
        <v>327</v>
      </c>
      <c r="J30" s="10" t="s">
        <v>328</v>
      </c>
      <c r="K30" s="13" t="s">
        <v>329</v>
      </c>
      <c r="L30" s="12" t="s">
        <v>330</v>
      </c>
    </row>
    <row r="31" spans="1:12" ht="14.25" customHeight="1">
      <c r="A31" s="10">
        <v>432</v>
      </c>
      <c r="B31" s="10" t="s">
        <v>22</v>
      </c>
      <c r="C31" s="12" t="s">
        <v>141</v>
      </c>
      <c r="D31" s="10" t="s">
        <v>335</v>
      </c>
      <c r="E31" s="10" t="s">
        <v>337</v>
      </c>
      <c r="F31" s="10" t="s">
        <v>338</v>
      </c>
      <c r="G31" s="10" t="s">
        <v>340</v>
      </c>
      <c r="H31" s="10" t="s">
        <v>341</v>
      </c>
      <c r="I31" s="10" t="s">
        <v>342</v>
      </c>
      <c r="J31" s="10" t="s">
        <v>344</v>
      </c>
      <c r="K31" s="13" t="s">
        <v>345</v>
      </c>
      <c r="L31" s="12" t="s">
        <v>346</v>
      </c>
    </row>
    <row r="32" spans="1:12" ht="14.25" customHeight="1">
      <c r="A32" s="10">
        <v>426</v>
      </c>
      <c r="B32" s="10" t="s">
        <v>22</v>
      </c>
      <c r="C32" s="12" t="s">
        <v>141</v>
      </c>
      <c r="D32" s="10" t="s">
        <v>348</v>
      </c>
      <c r="E32" s="10" t="s">
        <v>301</v>
      </c>
      <c r="F32" s="10" t="s">
        <v>351</v>
      </c>
      <c r="G32" s="10" t="s">
        <v>352</v>
      </c>
      <c r="H32" s="10" t="s">
        <v>353</v>
      </c>
      <c r="I32" s="10" t="s">
        <v>355</v>
      </c>
      <c r="J32" s="10" t="s">
        <v>356</v>
      </c>
      <c r="K32" s="13" t="s">
        <v>357</v>
      </c>
      <c r="L32" s="12" t="s">
        <v>358</v>
      </c>
    </row>
    <row r="33" spans="1:12" ht="14.25" customHeight="1">
      <c r="A33" s="10">
        <v>443</v>
      </c>
      <c r="B33" s="10" t="s">
        <v>22</v>
      </c>
      <c r="C33" s="12" t="s">
        <v>141</v>
      </c>
      <c r="D33" s="10" t="s">
        <v>361</v>
      </c>
      <c r="E33" s="10" t="s">
        <v>36</v>
      </c>
      <c r="F33" s="10" t="s">
        <v>362</v>
      </c>
      <c r="G33" s="10" t="s">
        <v>363</v>
      </c>
      <c r="H33" s="10" t="s">
        <v>364</v>
      </c>
      <c r="I33" s="10" t="s">
        <v>365</v>
      </c>
      <c r="J33" s="10" t="s">
        <v>367</v>
      </c>
      <c r="K33" s="13" t="s">
        <v>368</v>
      </c>
      <c r="L33" s="12" t="s">
        <v>369</v>
      </c>
    </row>
    <row r="34" spans="1:12" ht="14.25" customHeight="1">
      <c r="A34" s="10">
        <v>425</v>
      </c>
      <c r="B34" s="10" t="s">
        <v>22</v>
      </c>
      <c r="C34" s="12" t="s">
        <v>141</v>
      </c>
      <c r="D34" s="10" t="s">
        <v>370</v>
      </c>
      <c r="E34" s="10" t="s">
        <v>54</v>
      </c>
      <c r="F34" s="10" t="s">
        <v>371</v>
      </c>
      <c r="G34" s="10" t="s">
        <v>372</v>
      </c>
      <c r="H34" s="10" t="s">
        <v>373</v>
      </c>
      <c r="I34" s="10" t="s">
        <v>374</v>
      </c>
      <c r="J34" s="10" t="s">
        <v>375</v>
      </c>
      <c r="K34" s="13" t="s">
        <v>376</v>
      </c>
      <c r="L34" s="12" t="s">
        <v>377</v>
      </c>
    </row>
    <row r="35" spans="1:12" ht="14.25" customHeight="1">
      <c r="A35" s="10">
        <v>451</v>
      </c>
      <c r="B35" s="10" t="s">
        <v>22</v>
      </c>
      <c r="C35" s="12" t="s">
        <v>141</v>
      </c>
      <c r="D35" s="10" t="s">
        <v>379</v>
      </c>
      <c r="E35" s="10" t="s">
        <v>45</v>
      </c>
      <c r="F35" s="10" t="s">
        <v>381</v>
      </c>
      <c r="G35" s="10" t="s">
        <v>382</v>
      </c>
      <c r="H35" s="10" t="s">
        <v>383</v>
      </c>
      <c r="I35" s="10" t="s">
        <v>384</v>
      </c>
      <c r="J35" s="10" t="s">
        <v>386</v>
      </c>
      <c r="K35" s="13" t="s">
        <v>387</v>
      </c>
      <c r="L35" s="12" t="s">
        <v>389</v>
      </c>
    </row>
    <row r="36" spans="1:12" ht="14.25" customHeight="1">
      <c r="A36" s="10">
        <v>417</v>
      </c>
      <c r="B36" s="10" t="s">
        <v>22</v>
      </c>
      <c r="C36" s="12" t="s">
        <v>141</v>
      </c>
      <c r="D36" s="10" t="s">
        <v>393</v>
      </c>
      <c r="E36" s="10" t="s">
        <v>36</v>
      </c>
      <c r="F36" s="10" t="s">
        <v>394</v>
      </c>
      <c r="G36" s="10" t="s">
        <v>395</v>
      </c>
      <c r="H36" s="10" t="s">
        <v>396</v>
      </c>
      <c r="I36" s="10" t="s">
        <v>397</v>
      </c>
      <c r="J36" s="10" t="s">
        <v>398</v>
      </c>
      <c r="K36" s="13" t="s">
        <v>399</v>
      </c>
      <c r="L36" s="12" t="s">
        <v>400</v>
      </c>
    </row>
    <row r="37" spans="1:12" ht="14.25" customHeight="1">
      <c r="A37" s="10">
        <v>433</v>
      </c>
      <c r="B37" s="10" t="s">
        <v>22</v>
      </c>
      <c r="C37" s="12" t="s">
        <v>141</v>
      </c>
      <c r="D37" s="10" t="s">
        <v>403</v>
      </c>
      <c r="E37" s="10" t="s">
        <v>148</v>
      </c>
      <c r="F37" s="10" t="s">
        <v>404</v>
      </c>
      <c r="G37" s="10" t="s">
        <v>405</v>
      </c>
      <c r="H37" s="10" t="s">
        <v>406</v>
      </c>
      <c r="I37" s="10" t="s">
        <v>407</v>
      </c>
      <c r="J37" s="10" t="s">
        <v>408</v>
      </c>
      <c r="K37" s="13" t="s">
        <v>410</v>
      </c>
      <c r="L37" s="12" t="s">
        <v>411</v>
      </c>
    </row>
    <row r="38" spans="1:12" ht="14.25" customHeight="1">
      <c r="A38" s="10">
        <v>414</v>
      </c>
      <c r="B38" s="10" t="s">
        <v>22</v>
      </c>
      <c r="C38" s="12" t="s">
        <v>141</v>
      </c>
      <c r="D38" s="10" t="s">
        <v>414</v>
      </c>
      <c r="E38" s="10" t="s">
        <v>36</v>
      </c>
      <c r="F38" s="10" t="s">
        <v>415</v>
      </c>
      <c r="G38" s="10" t="s">
        <v>416</v>
      </c>
      <c r="H38" s="10" t="s">
        <v>417</v>
      </c>
      <c r="I38" s="10" t="s">
        <v>418</v>
      </c>
      <c r="J38" s="10" t="s">
        <v>419</v>
      </c>
      <c r="K38" s="13" t="s">
        <v>420</v>
      </c>
      <c r="L38" s="12" t="s">
        <v>421</v>
      </c>
    </row>
    <row r="39" spans="1:12" ht="14.25" customHeight="1">
      <c r="A39" s="10">
        <v>418</v>
      </c>
      <c r="B39" s="10" t="s">
        <v>22</v>
      </c>
      <c r="C39" s="12" t="s">
        <v>141</v>
      </c>
      <c r="D39" s="10" t="s">
        <v>424</v>
      </c>
      <c r="E39" s="10" t="s">
        <v>36</v>
      </c>
      <c r="F39" s="10" t="s">
        <v>425</v>
      </c>
      <c r="G39" s="10" t="s">
        <v>426</v>
      </c>
      <c r="H39" s="10" t="s">
        <v>427</v>
      </c>
      <c r="I39" s="10" t="s">
        <v>428</v>
      </c>
      <c r="J39" s="10" t="s">
        <v>429</v>
      </c>
      <c r="K39" s="13" t="s">
        <v>431</v>
      </c>
      <c r="L39" s="12" t="s">
        <v>432</v>
      </c>
    </row>
    <row r="40" spans="1:12" ht="14.25" customHeight="1">
      <c r="A40" s="10">
        <v>445</v>
      </c>
      <c r="B40" s="10" t="s">
        <v>22</v>
      </c>
      <c r="C40" s="12" t="s">
        <v>141</v>
      </c>
      <c r="D40" s="10" t="s">
        <v>435</v>
      </c>
      <c r="E40" s="10" t="s">
        <v>36</v>
      </c>
      <c r="F40" s="10" t="s">
        <v>436</v>
      </c>
      <c r="G40" s="10" t="s">
        <v>437</v>
      </c>
      <c r="H40" s="10" t="s">
        <v>438</v>
      </c>
      <c r="I40" s="10" t="s">
        <v>439</v>
      </c>
      <c r="J40" s="10" t="s">
        <v>440</v>
      </c>
      <c r="K40" s="13" t="s">
        <v>441</v>
      </c>
      <c r="L40" s="12" t="s">
        <v>442</v>
      </c>
    </row>
    <row r="41" spans="1:12" ht="14.25" customHeight="1">
      <c r="A41" s="10">
        <v>431</v>
      </c>
      <c r="B41" s="10" t="s">
        <v>22</v>
      </c>
      <c r="C41" s="12" t="s">
        <v>141</v>
      </c>
      <c r="D41" s="10" t="s">
        <v>447</v>
      </c>
      <c r="E41" s="10" t="s">
        <v>45</v>
      </c>
      <c r="F41" s="10" t="s">
        <v>449</v>
      </c>
      <c r="G41" s="10" t="s">
        <v>450</v>
      </c>
      <c r="H41" s="10" t="s">
        <v>451</v>
      </c>
      <c r="I41" s="10" t="s">
        <v>452</v>
      </c>
      <c r="J41" s="10" t="s">
        <v>453</v>
      </c>
      <c r="K41" s="13" t="s">
        <v>454</v>
      </c>
      <c r="L41" s="12" t="s">
        <v>455</v>
      </c>
    </row>
    <row r="42" spans="1:12" ht="14.25" customHeight="1">
      <c r="A42" s="10">
        <v>416</v>
      </c>
      <c r="B42" s="10" t="s">
        <v>22</v>
      </c>
      <c r="C42" s="12" t="s">
        <v>141</v>
      </c>
      <c r="D42" s="10" t="s">
        <v>457</v>
      </c>
      <c r="E42" s="10" t="s">
        <v>148</v>
      </c>
      <c r="F42" s="10" t="s">
        <v>459</v>
      </c>
      <c r="G42" s="10" t="s">
        <v>461</v>
      </c>
      <c r="H42" s="10" t="s">
        <v>462</v>
      </c>
      <c r="I42" s="10" t="s">
        <v>463</v>
      </c>
      <c r="J42" s="10" t="s">
        <v>464</v>
      </c>
      <c r="K42" s="13" t="s">
        <v>466</v>
      </c>
      <c r="L42" s="12" t="s">
        <v>467</v>
      </c>
    </row>
    <row r="43" spans="1:12" ht="14.25" customHeight="1">
      <c r="A43" s="10">
        <v>429</v>
      </c>
      <c r="B43" s="10" t="s">
        <v>22</v>
      </c>
      <c r="C43" s="12" t="s">
        <v>141</v>
      </c>
      <c r="D43" s="10" t="s">
        <v>470</v>
      </c>
      <c r="E43" s="10" t="s">
        <v>72</v>
      </c>
      <c r="F43" s="10" t="s">
        <v>471</v>
      </c>
      <c r="G43" s="10" t="s">
        <v>472</v>
      </c>
      <c r="H43" s="10" t="s">
        <v>473</v>
      </c>
      <c r="I43" s="10" t="s">
        <v>474</v>
      </c>
      <c r="J43" s="10" t="s">
        <v>476</v>
      </c>
      <c r="K43" s="13" t="s">
        <v>477</v>
      </c>
      <c r="L43" s="12" t="s">
        <v>478</v>
      </c>
    </row>
    <row r="44" spans="1:12" ht="14.25" customHeight="1">
      <c r="A44" s="10">
        <v>447</v>
      </c>
      <c r="B44" s="10" t="s">
        <v>22</v>
      </c>
      <c r="C44" s="12" t="s">
        <v>141</v>
      </c>
      <c r="D44" s="10" t="s">
        <v>484</v>
      </c>
      <c r="E44" s="10" t="s">
        <v>301</v>
      </c>
      <c r="F44" s="10" t="s">
        <v>485</v>
      </c>
      <c r="G44" s="10" t="s">
        <v>486</v>
      </c>
      <c r="H44" s="10" t="s">
        <v>488</v>
      </c>
      <c r="I44" s="10" t="s">
        <v>489</v>
      </c>
      <c r="J44" s="10" t="s">
        <v>492</v>
      </c>
      <c r="K44" s="13" t="s">
        <v>493</v>
      </c>
      <c r="L44" s="12" t="s">
        <v>495</v>
      </c>
    </row>
    <row r="45" spans="1:12" ht="14.25" customHeight="1">
      <c r="A45" s="10">
        <v>422</v>
      </c>
      <c r="B45" s="10" t="s">
        <v>22</v>
      </c>
      <c r="C45" s="12" t="s">
        <v>141</v>
      </c>
      <c r="D45" s="10" t="s">
        <v>497</v>
      </c>
      <c r="E45" s="10" t="s">
        <v>93</v>
      </c>
      <c r="F45" s="10" t="s">
        <v>499</v>
      </c>
      <c r="G45" s="10" t="s">
        <v>500</v>
      </c>
      <c r="H45" s="10" t="s">
        <v>501</v>
      </c>
      <c r="I45" s="10" t="s">
        <v>502</v>
      </c>
      <c r="J45" s="10" t="s">
        <v>503</v>
      </c>
      <c r="K45" s="13" t="s">
        <v>504</v>
      </c>
      <c r="L45" s="12" t="s">
        <v>505</v>
      </c>
    </row>
    <row r="46" spans="1:12" ht="14.25" customHeight="1">
      <c r="A46" s="10">
        <v>421</v>
      </c>
      <c r="B46" s="10" t="s">
        <v>22</v>
      </c>
      <c r="C46" s="12" t="s">
        <v>141</v>
      </c>
      <c r="D46" s="10" t="s">
        <v>507</v>
      </c>
      <c r="E46" s="10" t="s">
        <v>216</v>
      </c>
      <c r="F46" s="10" t="s">
        <v>508</v>
      </c>
      <c r="G46" s="10" t="s">
        <v>509</v>
      </c>
      <c r="H46" s="10" t="s">
        <v>511</v>
      </c>
      <c r="I46" s="10" t="s">
        <v>512</v>
      </c>
      <c r="J46" s="10" t="s">
        <v>514</v>
      </c>
      <c r="K46" s="13" t="s">
        <v>515</v>
      </c>
      <c r="L46" s="12" t="s">
        <v>516</v>
      </c>
    </row>
    <row r="47" spans="1:12" ht="14.25" customHeight="1">
      <c r="A47" s="10">
        <v>436</v>
      </c>
      <c r="B47" s="10" t="s">
        <v>22</v>
      </c>
      <c r="C47" s="12" t="s">
        <v>141</v>
      </c>
      <c r="D47" s="10" t="s">
        <v>517</v>
      </c>
      <c r="E47" s="10" t="s">
        <v>81</v>
      </c>
      <c r="F47" s="10" t="s">
        <v>518</v>
      </c>
      <c r="G47" s="10" t="s">
        <v>450</v>
      </c>
      <c r="H47" s="10" t="s">
        <v>520</v>
      </c>
      <c r="I47" s="10" t="s">
        <v>521</v>
      </c>
      <c r="J47" s="10" t="s">
        <v>522</v>
      </c>
      <c r="K47" s="13" t="s">
        <v>524</v>
      </c>
      <c r="L47" s="12" t="s">
        <v>525</v>
      </c>
    </row>
    <row r="48" spans="1:12" ht="14.25" customHeight="1">
      <c r="A48" s="10">
        <v>441</v>
      </c>
      <c r="B48" s="10" t="s">
        <v>22</v>
      </c>
      <c r="C48" s="12" t="s">
        <v>141</v>
      </c>
      <c r="D48" s="10" t="s">
        <v>528</v>
      </c>
      <c r="E48" s="10" t="s">
        <v>337</v>
      </c>
      <c r="F48" s="10" t="s">
        <v>530</v>
      </c>
      <c r="G48" s="10" t="s">
        <v>531</v>
      </c>
      <c r="H48" s="10" t="s">
        <v>532</v>
      </c>
      <c r="I48" s="10" t="s">
        <v>533</v>
      </c>
      <c r="J48" s="10" t="s">
        <v>534</v>
      </c>
      <c r="K48" s="13" t="s">
        <v>537</v>
      </c>
      <c r="L48" s="12" t="s">
        <v>538</v>
      </c>
    </row>
    <row r="49" spans="1:12" ht="14.25" customHeight="1">
      <c r="A49" s="10">
        <v>446</v>
      </c>
      <c r="B49" s="10" t="s">
        <v>22</v>
      </c>
      <c r="C49" s="12" t="s">
        <v>141</v>
      </c>
      <c r="D49" s="10" t="s">
        <v>542</v>
      </c>
      <c r="E49" s="10" t="s">
        <v>36</v>
      </c>
      <c r="F49" s="10" t="s">
        <v>544</v>
      </c>
      <c r="G49" s="10" t="s">
        <v>545</v>
      </c>
      <c r="H49" s="10" t="s">
        <v>546</v>
      </c>
      <c r="I49" s="10" t="s">
        <v>547</v>
      </c>
      <c r="J49" s="10" t="s">
        <v>548</v>
      </c>
      <c r="K49" s="13" t="s">
        <v>549</v>
      </c>
      <c r="L49" s="12" t="s">
        <v>538</v>
      </c>
    </row>
    <row r="50" spans="1:12" ht="14.25" customHeight="1">
      <c r="A50" s="10">
        <v>424</v>
      </c>
      <c r="B50" s="10" t="s">
        <v>22</v>
      </c>
      <c r="C50" s="12" t="s">
        <v>141</v>
      </c>
      <c r="D50" s="10" t="s">
        <v>551</v>
      </c>
      <c r="E50" s="10" t="s">
        <v>45</v>
      </c>
      <c r="F50" s="10" t="s">
        <v>552</v>
      </c>
      <c r="G50" s="10" t="s">
        <v>553</v>
      </c>
      <c r="H50" s="10" t="s">
        <v>554</v>
      </c>
      <c r="I50" s="10" t="s">
        <v>555</v>
      </c>
      <c r="J50" s="10" t="s">
        <v>556</v>
      </c>
      <c r="K50" s="13" t="s">
        <v>556</v>
      </c>
      <c r="L50" s="12" t="s">
        <v>557</v>
      </c>
    </row>
    <row r="51" spans="1:12" ht="14.25" customHeight="1">
      <c r="A51" s="10">
        <v>413</v>
      </c>
      <c r="B51" s="10" t="s">
        <v>22</v>
      </c>
      <c r="C51" s="12" t="s">
        <v>141</v>
      </c>
      <c r="D51" s="10" t="s">
        <v>560</v>
      </c>
      <c r="E51" s="10" t="s">
        <v>26</v>
      </c>
      <c r="F51" s="10" t="s">
        <v>561</v>
      </c>
      <c r="G51" s="10" t="s">
        <v>563</v>
      </c>
      <c r="H51" s="10" t="s">
        <v>556</v>
      </c>
      <c r="I51" s="10" t="s">
        <v>556</v>
      </c>
      <c r="J51" s="10" t="s">
        <v>556</v>
      </c>
      <c r="K51" s="13" t="s">
        <v>556</v>
      </c>
      <c r="L51" s="12" t="s">
        <v>557</v>
      </c>
    </row>
    <row r="52" spans="1:12" ht="14.25" customHeight="1">
      <c r="A52" s="10">
        <v>201</v>
      </c>
      <c r="B52" s="10" t="s">
        <v>107</v>
      </c>
      <c r="C52" s="12" t="s">
        <v>23</v>
      </c>
      <c r="D52" s="10" t="s">
        <v>110</v>
      </c>
      <c r="E52" s="10" t="s">
        <v>45</v>
      </c>
      <c r="F52" s="10" t="s">
        <v>565</v>
      </c>
      <c r="G52" s="10" t="s">
        <v>566</v>
      </c>
      <c r="H52" s="10" t="s">
        <v>567</v>
      </c>
      <c r="I52" s="10" t="s">
        <v>568</v>
      </c>
      <c r="J52" s="10" t="s">
        <v>569</v>
      </c>
      <c r="K52" s="13" t="s">
        <v>113</v>
      </c>
      <c r="L52" s="12" t="s">
        <v>34</v>
      </c>
    </row>
    <row r="53" spans="1:12" ht="14.25" customHeight="1">
      <c r="A53" s="10">
        <v>209</v>
      </c>
      <c r="B53" s="10" t="s">
        <v>107</v>
      </c>
      <c r="C53" s="12" t="s">
        <v>23</v>
      </c>
      <c r="D53" s="10" t="s">
        <v>150</v>
      </c>
      <c r="E53" s="10" t="s">
        <v>45</v>
      </c>
      <c r="F53" s="10" t="s">
        <v>573</v>
      </c>
      <c r="G53" s="10" t="s">
        <v>574</v>
      </c>
      <c r="H53" s="10" t="s">
        <v>575</v>
      </c>
      <c r="I53" s="10" t="s">
        <v>577</v>
      </c>
      <c r="J53" s="10" t="s">
        <v>578</v>
      </c>
      <c r="K53" s="13" t="s">
        <v>153</v>
      </c>
      <c r="L53" s="12" t="s">
        <v>43</v>
      </c>
    </row>
    <row r="54" spans="1:12" ht="14.25" customHeight="1">
      <c r="A54" s="10">
        <v>214</v>
      </c>
      <c r="B54" s="10" t="s">
        <v>107</v>
      </c>
      <c r="C54" s="12" t="s">
        <v>23</v>
      </c>
      <c r="D54" s="10" t="s">
        <v>163</v>
      </c>
      <c r="E54" s="10" t="s">
        <v>36</v>
      </c>
      <c r="F54" s="10" t="s">
        <v>580</v>
      </c>
      <c r="G54" s="10" t="s">
        <v>581</v>
      </c>
      <c r="H54" s="10" t="s">
        <v>582</v>
      </c>
      <c r="I54" s="10" t="s">
        <v>583</v>
      </c>
      <c r="J54" s="10" t="s">
        <v>584</v>
      </c>
      <c r="K54" s="13" t="s">
        <v>167</v>
      </c>
      <c r="L54" s="12" t="s">
        <v>52</v>
      </c>
    </row>
    <row r="55" spans="1:12" ht="14.25" customHeight="1">
      <c r="A55" s="10">
        <v>221</v>
      </c>
      <c r="B55" s="10" t="s">
        <v>107</v>
      </c>
      <c r="C55" s="12" t="s">
        <v>23</v>
      </c>
      <c r="D55" s="10" t="s">
        <v>587</v>
      </c>
      <c r="E55" s="10" t="s">
        <v>36</v>
      </c>
      <c r="F55" s="10" t="s">
        <v>588</v>
      </c>
      <c r="G55" s="10" t="s">
        <v>589</v>
      </c>
      <c r="H55" s="10" t="s">
        <v>590</v>
      </c>
      <c r="I55" s="10" t="s">
        <v>591</v>
      </c>
      <c r="J55" s="10" t="s">
        <v>593</v>
      </c>
      <c r="K55" s="13" t="s">
        <v>594</v>
      </c>
      <c r="L55" s="12" t="s">
        <v>61</v>
      </c>
    </row>
    <row r="56" spans="1:12" ht="14.25" customHeight="1">
      <c r="A56" s="10">
        <v>206</v>
      </c>
      <c r="B56" s="10" t="s">
        <v>107</v>
      </c>
      <c r="C56" s="12" t="s">
        <v>23</v>
      </c>
      <c r="D56" s="10" t="s">
        <v>598</v>
      </c>
      <c r="E56" s="10" t="s">
        <v>93</v>
      </c>
      <c r="F56" s="10" t="s">
        <v>599</v>
      </c>
      <c r="G56" s="10" t="s">
        <v>601</v>
      </c>
      <c r="H56" s="10" t="s">
        <v>603</v>
      </c>
      <c r="I56" s="10" t="s">
        <v>604</v>
      </c>
      <c r="J56" s="10" t="s">
        <v>605</v>
      </c>
      <c r="K56" s="13" t="s">
        <v>606</v>
      </c>
      <c r="L56" s="12" t="s">
        <v>70</v>
      </c>
    </row>
    <row r="57" spans="1:12" ht="14.25" customHeight="1">
      <c r="A57" s="10">
        <v>200</v>
      </c>
      <c r="B57" s="10" t="s">
        <v>107</v>
      </c>
      <c r="C57" s="12" t="s">
        <v>23</v>
      </c>
      <c r="D57" s="10" t="s">
        <v>607</v>
      </c>
      <c r="E57" s="10" t="s">
        <v>36</v>
      </c>
      <c r="F57" s="10" t="s">
        <v>608</v>
      </c>
      <c r="G57" s="10" t="s">
        <v>609</v>
      </c>
      <c r="H57" s="10" t="s">
        <v>610</v>
      </c>
      <c r="I57" s="10" t="s">
        <v>611</v>
      </c>
      <c r="J57" s="10" t="s">
        <v>612</v>
      </c>
      <c r="K57" s="13" t="s">
        <v>613</v>
      </c>
      <c r="L57" s="12" t="s">
        <v>79</v>
      </c>
    </row>
    <row r="58" spans="1:12" ht="14.25" customHeight="1">
      <c r="A58" s="10">
        <v>202</v>
      </c>
      <c r="B58" s="10" t="s">
        <v>107</v>
      </c>
      <c r="C58" s="12" t="s">
        <v>23</v>
      </c>
      <c r="D58" s="10" t="s">
        <v>615</v>
      </c>
      <c r="E58" s="10" t="s">
        <v>36</v>
      </c>
      <c r="F58" s="10" t="s">
        <v>616</v>
      </c>
      <c r="G58" s="10" t="s">
        <v>617</v>
      </c>
      <c r="H58" s="10" t="s">
        <v>618</v>
      </c>
      <c r="I58" s="10" t="s">
        <v>619</v>
      </c>
      <c r="J58" s="10" t="s">
        <v>620</v>
      </c>
      <c r="K58" s="13" t="s">
        <v>622</v>
      </c>
      <c r="L58" s="12" t="s">
        <v>90</v>
      </c>
    </row>
    <row r="59" spans="1:12" ht="14.25" customHeight="1">
      <c r="A59" s="10">
        <v>204</v>
      </c>
      <c r="B59" s="10" t="s">
        <v>107</v>
      </c>
      <c r="C59" s="12" t="s">
        <v>23</v>
      </c>
      <c r="D59" s="10" t="s">
        <v>626</v>
      </c>
      <c r="E59" s="10" t="s">
        <v>627</v>
      </c>
      <c r="F59" s="10" t="s">
        <v>628</v>
      </c>
      <c r="G59" s="10" t="s">
        <v>629</v>
      </c>
      <c r="H59" s="10" t="s">
        <v>630</v>
      </c>
      <c r="I59" s="10" t="s">
        <v>631</v>
      </c>
      <c r="J59" s="10" t="s">
        <v>632</v>
      </c>
      <c r="K59" s="13" t="s">
        <v>633</v>
      </c>
      <c r="L59" s="12" t="s">
        <v>100</v>
      </c>
    </row>
    <row r="60" spans="1:12" ht="14.25" customHeight="1">
      <c r="A60" s="10">
        <v>223</v>
      </c>
      <c r="B60" s="10" t="s">
        <v>107</v>
      </c>
      <c r="C60" s="12" t="s">
        <v>23</v>
      </c>
      <c r="D60" s="10" t="s">
        <v>634</v>
      </c>
      <c r="E60" s="10" t="s">
        <v>72</v>
      </c>
      <c r="F60" s="10" t="s">
        <v>636</v>
      </c>
      <c r="G60" s="10" t="s">
        <v>637</v>
      </c>
      <c r="H60" s="10" t="s">
        <v>638</v>
      </c>
      <c r="I60" s="10" t="s">
        <v>639</v>
      </c>
      <c r="J60" s="10" t="s">
        <v>640</v>
      </c>
      <c r="K60" s="13" t="s">
        <v>642</v>
      </c>
      <c r="L60" s="12" t="s">
        <v>109</v>
      </c>
    </row>
    <row r="61" spans="1:12" ht="14.25" customHeight="1">
      <c r="A61" s="10">
        <v>211</v>
      </c>
      <c r="B61" s="10" t="s">
        <v>107</v>
      </c>
      <c r="C61" s="12" t="s">
        <v>23</v>
      </c>
      <c r="D61" s="10" t="s">
        <v>644</v>
      </c>
      <c r="E61" s="10" t="s">
        <v>627</v>
      </c>
      <c r="F61" s="10" t="s">
        <v>645</v>
      </c>
      <c r="G61" s="10" t="s">
        <v>646</v>
      </c>
      <c r="H61" s="10" t="s">
        <v>647</v>
      </c>
      <c r="I61" s="10" t="s">
        <v>648</v>
      </c>
      <c r="J61" s="10" t="s">
        <v>650</v>
      </c>
      <c r="K61" s="13" t="s">
        <v>651</v>
      </c>
      <c r="L61" s="12" t="s">
        <v>120</v>
      </c>
    </row>
    <row r="62" spans="1:12" ht="14.25" customHeight="1">
      <c r="A62" s="10">
        <v>207</v>
      </c>
      <c r="B62" s="10" t="s">
        <v>107</v>
      </c>
      <c r="C62" s="12" t="s">
        <v>23</v>
      </c>
      <c r="D62" s="10" t="s">
        <v>652</v>
      </c>
      <c r="E62" s="10" t="s">
        <v>36</v>
      </c>
      <c r="F62" s="10" t="s">
        <v>654</v>
      </c>
      <c r="G62" s="10" t="s">
        <v>655</v>
      </c>
      <c r="H62" s="10" t="s">
        <v>657</v>
      </c>
      <c r="I62" s="10" t="s">
        <v>658</v>
      </c>
      <c r="J62" s="10" t="s">
        <v>659</v>
      </c>
      <c r="K62" s="13" t="s">
        <v>661</v>
      </c>
      <c r="L62" s="12" t="s">
        <v>128</v>
      </c>
    </row>
    <row r="63" spans="1:12" ht="14.25" customHeight="1">
      <c r="A63" s="10">
        <v>216</v>
      </c>
      <c r="B63" s="10" t="s">
        <v>107</v>
      </c>
      <c r="C63" s="12" t="s">
        <v>23</v>
      </c>
      <c r="D63" s="10" t="s">
        <v>662</v>
      </c>
      <c r="E63" s="10" t="s">
        <v>155</v>
      </c>
      <c r="F63" s="10" t="s">
        <v>663</v>
      </c>
      <c r="G63" s="10" t="s">
        <v>664</v>
      </c>
      <c r="H63" s="10" t="s">
        <v>665</v>
      </c>
      <c r="I63" s="10" t="s">
        <v>666</v>
      </c>
      <c r="J63" s="10" t="s">
        <v>667</v>
      </c>
      <c r="K63" s="13" t="s">
        <v>668</v>
      </c>
      <c r="L63" s="12" t="s">
        <v>140</v>
      </c>
    </row>
    <row r="64" spans="1:12" ht="14.25" customHeight="1">
      <c r="A64" s="10">
        <v>203</v>
      </c>
      <c r="B64" s="10" t="s">
        <v>107</v>
      </c>
      <c r="C64" s="12" t="s">
        <v>23</v>
      </c>
      <c r="D64" s="10" t="s">
        <v>671</v>
      </c>
      <c r="E64" s="10" t="s">
        <v>36</v>
      </c>
      <c r="F64" s="10" t="s">
        <v>673</v>
      </c>
      <c r="G64" s="10" t="s">
        <v>674</v>
      </c>
      <c r="H64" s="10" t="s">
        <v>675</v>
      </c>
      <c r="I64" s="10" t="s">
        <v>676</v>
      </c>
      <c r="J64" s="10" t="s">
        <v>677</v>
      </c>
      <c r="K64" s="13" t="s">
        <v>679</v>
      </c>
      <c r="L64" s="12" t="s">
        <v>284</v>
      </c>
    </row>
    <row r="65" spans="1:12" ht="14.25" customHeight="1">
      <c r="A65" s="10">
        <v>218</v>
      </c>
      <c r="B65" s="10" t="s">
        <v>107</v>
      </c>
      <c r="C65" s="12" t="s">
        <v>23</v>
      </c>
      <c r="D65" s="10" t="s">
        <v>682</v>
      </c>
      <c r="E65" s="10" t="s">
        <v>36</v>
      </c>
      <c r="F65" s="10" t="s">
        <v>685</v>
      </c>
      <c r="G65" s="10" t="s">
        <v>686</v>
      </c>
      <c r="H65" s="10" t="s">
        <v>630</v>
      </c>
      <c r="I65" s="10" t="s">
        <v>687</v>
      </c>
      <c r="J65" s="10" t="s">
        <v>688</v>
      </c>
      <c r="K65" s="13" t="s">
        <v>689</v>
      </c>
      <c r="L65" s="12" t="s">
        <v>296</v>
      </c>
    </row>
    <row r="66" spans="1:12" ht="14.25" customHeight="1">
      <c r="A66" s="10">
        <v>220</v>
      </c>
      <c r="B66" s="10" t="s">
        <v>107</v>
      </c>
      <c r="C66" s="12" t="s">
        <v>23</v>
      </c>
      <c r="D66" s="10" t="s">
        <v>691</v>
      </c>
      <c r="E66" s="10" t="s">
        <v>36</v>
      </c>
      <c r="F66" s="10" t="s">
        <v>693</v>
      </c>
      <c r="G66" s="10" t="s">
        <v>694</v>
      </c>
      <c r="H66" s="10" t="s">
        <v>695</v>
      </c>
      <c r="I66" s="10" t="s">
        <v>696</v>
      </c>
      <c r="J66" s="10" t="s">
        <v>697</v>
      </c>
      <c r="K66" s="13" t="s">
        <v>698</v>
      </c>
      <c r="L66" s="12" t="s">
        <v>309</v>
      </c>
    </row>
    <row r="67" spans="1:12" ht="14.25" customHeight="1">
      <c r="A67" s="10">
        <v>219</v>
      </c>
      <c r="B67" s="10" t="s">
        <v>107</v>
      </c>
      <c r="C67" s="12" t="s">
        <v>23</v>
      </c>
      <c r="D67" s="10" t="s">
        <v>701</v>
      </c>
      <c r="E67" s="10" t="s">
        <v>36</v>
      </c>
      <c r="F67" s="10" t="s">
        <v>703</v>
      </c>
      <c r="G67" s="10" t="s">
        <v>704</v>
      </c>
      <c r="H67" s="10" t="s">
        <v>705</v>
      </c>
      <c r="I67" s="10" t="s">
        <v>706</v>
      </c>
      <c r="J67" s="10" t="s">
        <v>707</v>
      </c>
      <c r="K67" s="13" t="s">
        <v>708</v>
      </c>
      <c r="L67" s="12" t="s">
        <v>321</v>
      </c>
    </row>
    <row r="68" spans="1:12" ht="14.25" customHeight="1">
      <c r="A68" s="10">
        <v>224</v>
      </c>
      <c r="B68" s="10" t="s">
        <v>107</v>
      </c>
      <c r="C68" s="12" t="s">
        <v>23</v>
      </c>
      <c r="D68" s="10" t="s">
        <v>709</v>
      </c>
      <c r="E68" s="10" t="s">
        <v>36</v>
      </c>
      <c r="F68" s="10" t="s">
        <v>710</v>
      </c>
      <c r="G68" s="10" t="s">
        <v>711</v>
      </c>
      <c r="H68" s="10" t="s">
        <v>712</v>
      </c>
      <c r="I68" s="10" t="s">
        <v>713</v>
      </c>
      <c r="J68" s="10" t="s">
        <v>714</v>
      </c>
      <c r="K68" s="13" t="s">
        <v>716</v>
      </c>
      <c r="L68" s="12" t="s">
        <v>330</v>
      </c>
    </row>
    <row r="69" spans="1:12" ht="14.25" customHeight="1">
      <c r="A69" s="10">
        <v>210</v>
      </c>
      <c r="B69" s="10" t="s">
        <v>107</v>
      </c>
      <c r="C69" s="12" t="s">
        <v>23</v>
      </c>
      <c r="D69" s="10" t="s">
        <v>718</v>
      </c>
      <c r="E69" s="10" t="s">
        <v>155</v>
      </c>
      <c r="F69" s="10" t="s">
        <v>719</v>
      </c>
      <c r="G69" s="10" t="s">
        <v>720</v>
      </c>
      <c r="H69" s="10" t="s">
        <v>721</v>
      </c>
      <c r="I69" s="10" t="s">
        <v>722</v>
      </c>
      <c r="J69" s="10" t="s">
        <v>723</v>
      </c>
      <c r="K69" s="13" t="s">
        <v>724</v>
      </c>
      <c r="L69" s="12" t="s">
        <v>346</v>
      </c>
    </row>
    <row r="70" spans="1:12" ht="14.25" customHeight="1">
      <c r="A70" s="10">
        <v>208</v>
      </c>
      <c r="B70" s="10" t="s">
        <v>107</v>
      </c>
      <c r="C70" s="12" t="s">
        <v>23</v>
      </c>
      <c r="D70" s="10" t="s">
        <v>727</v>
      </c>
      <c r="E70" s="10" t="s">
        <v>627</v>
      </c>
      <c r="F70" s="10" t="s">
        <v>728</v>
      </c>
      <c r="G70" s="10" t="s">
        <v>730</v>
      </c>
      <c r="H70" s="10" t="s">
        <v>731</v>
      </c>
      <c r="I70" s="10" t="s">
        <v>732</v>
      </c>
      <c r="J70" s="10" t="s">
        <v>734</v>
      </c>
      <c r="K70" s="13" t="s">
        <v>735</v>
      </c>
      <c r="L70" s="12" t="s">
        <v>358</v>
      </c>
    </row>
    <row r="71" spans="1:12" ht="14.25" customHeight="1">
      <c r="A71" s="10">
        <v>217</v>
      </c>
      <c r="B71" s="10" t="s">
        <v>107</v>
      </c>
      <c r="C71" s="12" t="s">
        <v>23</v>
      </c>
      <c r="D71" s="10" t="s">
        <v>738</v>
      </c>
      <c r="E71" s="10" t="s">
        <v>36</v>
      </c>
      <c r="F71" s="10" t="s">
        <v>739</v>
      </c>
      <c r="G71" s="10" t="s">
        <v>740</v>
      </c>
      <c r="H71" s="10" t="s">
        <v>741</v>
      </c>
      <c r="I71" s="10" t="s">
        <v>743</v>
      </c>
      <c r="J71" s="10" t="s">
        <v>744</v>
      </c>
      <c r="K71" s="13" t="s">
        <v>746</v>
      </c>
      <c r="L71" s="12" t="s">
        <v>369</v>
      </c>
    </row>
    <row r="72" spans="1:12" ht="14.25" customHeight="1">
      <c r="A72" s="10">
        <v>212</v>
      </c>
      <c r="B72" s="10" t="s">
        <v>107</v>
      </c>
      <c r="C72" s="12" t="s">
        <v>23</v>
      </c>
      <c r="D72" s="10" t="s">
        <v>748</v>
      </c>
      <c r="E72" s="10" t="s">
        <v>749</v>
      </c>
      <c r="F72" s="10" t="s">
        <v>750</v>
      </c>
      <c r="G72" s="10" t="s">
        <v>751</v>
      </c>
      <c r="H72" s="10" t="s">
        <v>753</v>
      </c>
      <c r="I72" s="10" t="s">
        <v>755</v>
      </c>
      <c r="J72" s="10" t="s">
        <v>756</v>
      </c>
      <c r="K72" s="13" t="s">
        <v>757</v>
      </c>
      <c r="L72" s="12" t="s">
        <v>377</v>
      </c>
    </row>
    <row r="73" spans="1:12" ht="14.25" customHeight="1">
      <c r="A73" s="10">
        <v>222</v>
      </c>
      <c r="B73" s="10" t="s">
        <v>107</v>
      </c>
      <c r="C73" s="12" t="s">
        <v>23</v>
      </c>
      <c r="D73" s="10" t="s">
        <v>758</v>
      </c>
      <c r="E73" s="10" t="s">
        <v>36</v>
      </c>
      <c r="F73" s="10" t="s">
        <v>760</v>
      </c>
      <c r="G73" s="10" t="s">
        <v>761</v>
      </c>
      <c r="H73" s="10" t="s">
        <v>762</v>
      </c>
      <c r="I73" s="10" t="s">
        <v>763</v>
      </c>
      <c r="J73" s="10" t="s">
        <v>764</v>
      </c>
      <c r="K73" s="13" t="s">
        <v>766</v>
      </c>
      <c r="L73" s="12" t="s">
        <v>389</v>
      </c>
    </row>
    <row r="74" spans="1:12" ht="14.25" customHeight="1">
      <c r="A74" s="10">
        <v>215</v>
      </c>
      <c r="B74" s="10" t="s">
        <v>107</v>
      </c>
      <c r="C74" s="12" t="s">
        <v>23</v>
      </c>
      <c r="D74" s="10" t="s">
        <v>771</v>
      </c>
      <c r="E74" s="10" t="s">
        <v>36</v>
      </c>
      <c r="F74" s="10" t="s">
        <v>774</v>
      </c>
      <c r="G74" s="10" t="s">
        <v>775</v>
      </c>
      <c r="H74" s="10" t="s">
        <v>776</v>
      </c>
      <c r="I74" s="10" t="s">
        <v>777</v>
      </c>
      <c r="J74" s="10" t="s">
        <v>778</v>
      </c>
      <c r="K74" s="13" t="s">
        <v>780</v>
      </c>
      <c r="L74" s="12" t="s">
        <v>400</v>
      </c>
    </row>
    <row r="75" spans="1:12" ht="14.25" customHeight="1">
      <c r="A75" s="10">
        <v>236</v>
      </c>
      <c r="B75" s="10" t="s">
        <v>107</v>
      </c>
      <c r="C75" s="12" t="s">
        <v>141</v>
      </c>
      <c r="D75" s="10" t="s">
        <v>203</v>
      </c>
      <c r="E75" s="10" t="s">
        <v>36</v>
      </c>
      <c r="F75" s="10" t="s">
        <v>781</v>
      </c>
      <c r="G75" s="10" t="s">
        <v>783</v>
      </c>
      <c r="H75" s="10" t="s">
        <v>784</v>
      </c>
      <c r="I75" s="10" t="s">
        <v>785</v>
      </c>
      <c r="J75" s="10" t="s">
        <v>788</v>
      </c>
      <c r="K75" s="13" t="s">
        <v>206</v>
      </c>
      <c r="L75" s="12" t="s">
        <v>34</v>
      </c>
    </row>
    <row r="76" spans="1:12" ht="14.25" customHeight="1">
      <c r="A76" s="10">
        <v>239</v>
      </c>
      <c r="B76" s="10" t="s">
        <v>107</v>
      </c>
      <c r="C76" s="12" t="s">
        <v>141</v>
      </c>
      <c r="D76" s="10" t="s">
        <v>223</v>
      </c>
      <c r="E76" s="10" t="s">
        <v>45</v>
      </c>
      <c r="F76" s="10" t="s">
        <v>792</v>
      </c>
      <c r="G76" s="10" t="s">
        <v>793</v>
      </c>
      <c r="H76" s="10" t="s">
        <v>794</v>
      </c>
      <c r="I76" s="10" t="s">
        <v>796</v>
      </c>
      <c r="J76" s="10" t="s">
        <v>797</v>
      </c>
      <c r="K76" s="13" t="s">
        <v>224</v>
      </c>
      <c r="L76" s="12" t="s">
        <v>43</v>
      </c>
    </row>
    <row r="77" spans="1:12" ht="14.25" customHeight="1">
      <c r="A77" s="10">
        <v>235</v>
      </c>
      <c r="B77" s="10" t="s">
        <v>107</v>
      </c>
      <c r="C77" s="12" t="s">
        <v>141</v>
      </c>
      <c r="D77" s="10" t="s">
        <v>234</v>
      </c>
      <c r="E77" s="10" t="s">
        <v>45</v>
      </c>
      <c r="F77" s="10" t="s">
        <v>654</v>
      </c>
      <c r="G77" s="10" t="s">
        <v>800</v>
      </c>
      <c r="H77" s="10" t="s">
        <v>801</v>
      </c>
      <c r="I77" s="10" t="s">
        <v>802</v>
      </c>
      <c r="J77" s="10" t="s">
        <v>803</v>
      </c>
      <c r="K77" s="13" t="s">
        <v>236</v>
      </c>
      <c r="L77" s="12" t="s">
        <v>52</v>
      </c>
    </row>
    <row r="78" spans="1:12" ht="14.25" customHeight="1">
      <c r="A78" s="10">
        <v>249</v>
      </c>
      <c r="B78" s="10" t="s">
        <v>107</v>
      </c>
      <c r="C78" s="12" t="s">
        <v>141</v>
      </c>
      <c r="D78" s="10" t="s">
        <v>805</v>
      </c>
      <c r="E78" s="10" t="s">
        <v>93</v>
      </c>
      <c r="F78" s="10" t="s">
        <v>807</v>
      </c>
      <c r="G78" s="10" t="s">
        <v>808</v>
      </c>
      <c r="H78" s="10" t="s">
        <v>809</v>
      </c>
      <c r="I78" s="10" t="s">
        <v>811</v>
      </c>
      <c r="J78" s="10" t="s">
        <v>813</v>
      </c>
      <c r="K78" s="13" t="s">
        <v>814</v>
      </c>
      <c r="L78" s="12" t="s">
        <v>61</v>
      </c>
    </row>
    <row r="79" spans="1:12" ht="14.25" customHeight="1">
      <c r="A79" s="10">
        <v>228</v>
      </c>
      <c r="B79" s="10" t="s">
        <v>107</v>
      </c>
      <c r="C79" s="12" t="s">
        <v>141</v>
      </c>
      <c r="D79" s="10" t="s">
        <v>815</v>
      </c>
      <c r="E79" s="10" t="s">
        <v>36</v>
      </c>
      <c r="F79" s="10" t="s">
        <v>816</v>
      </c>
      <c r="G79" s="10" t="s">
        <v>817</v>
      </c>
      <c r="H79" s="10" t="s">
        <v>818</v>
      </c>
      <c r="I79" s="10" t="s">
        <v>819</v>
      </c>
      <c r="J79" s="10" t="s">
        <v>820</v>
      </c>
      <c r="K79" s="13" t="s">
        <v>822</v>
      </c>
      <c r="L79" s="12" t="s">
        <v>70</v>
      </c>
    </row>
    <row r="80" spans="1:12" ht="14.25" customHeight="1">
      <c r="A80" s="10">
        <v>227</v>
      </c>
      <c r="B80" s="10" t="s">
        <v>107</v>
      </c>
      <c r="C80" s="12" t="s">
        <v>141</v>
      </c>
      <c r="D80" s="10" t="s">
        <v>827</v>
      </c>
      <c r="E80" s="10" t="s">
        <v>275</v>
      </c>
      <c r="F80" s="10" t="s">
        <v>828</v>
      </c>
      <c r="G80" s="10" t="s">
        <v>829</v>
      </c>
      <c r="H80" s="10" t="s">
        <v>830</v>
      </c>
      <c r="I80" s="10" t="s">
        <v>831</v>
      </c>
      <c r="J80" s="10" t="s">
        <v>832</v>
      </c>
      <c r="K80" s="13" t="s">
        <v>833</v>
      </c>
      <c r="L80" s="12" t="s">
        <v>79</v>
      </c>
    </row>
    <row r="81" spans="1:12" ht="14.25" customHeight="1">
      <c r="A81" s="10">
        <v>232</v>
      </c>
      <c r="B81" s="10" t="s">
        <v>107</v>
      </c>
      <c r="C81" s="12" t="s">
        <v>141</v>
      </c>
      <c r="D81" s="10" t="s">
        <v>834</v>
      </c>
      <c r="E81" s="10" t="s">
        <v>36</v>
      </c>
      <c r="F81" s="10" t="s">
        <v>835</v>
      </c>
      <c r="G81" s="10" t="s">
        <v>836</v>
      </c>
      <c r="H81" s="10" t="s">
        <v>838</v>
      </c>
      <c r="I81" s="10" t="s">
        <v>839</v>
      </c>
      <c r="J81" s="10" t="s">
        <v>841</v>
      </c>
      <c r="K81" s="13" t="s">
        <v>842</v>
      </c>
      <c r="L81" s="12" t="s">
        <v>90</v>
      </c>
    </row>
    <row r="82" spans="1:12" ht="14.25" customHeight="1">
      <c r="A82" s="10">
        <v>225</v>
      </c>
      <c r="B82" s="10" t="s">
        <v>107</v>
      </c>
      <c r="C82" s="12" t="s">
        <v>141</v>
      </c>
      <c r="D82" s="10" t="s">
        <v>848</v>
      </c>
      <c r="E82" s="10" t="s">
        <v>36</v>
      </c>
      <c r="F82" s="10" t="s">
        <v>849</v>
      </c>
      <c r="G82" s="10" t="s">
        <v>850</v>
      </c>
      <c r="H82" s="10" t="s">
        <v>851</v>
      </c>
      <c r="I82" s="10" t="s">
        <v>852</v>
      </c>
      <c r="J82" s="10" t="s">
        <v>853</v>
      </c>
      <c r="K82" s="13" t="s">
        <v>854</v>
      </c>
      <c r="L82" s="12" t="s">
        <v>100</v>
      </c>
    </row>
    <row r="83" spans="1:12" ht="14.25" customHeight="1">
      <c r="A83" s="10">
        <v>246</v>
      </c>
      <c r="B83" s="10" t="s">
        <v>107</v>
      </c>
      <c r="C83" s="12" t="s">
        <v>141</v>
      </c>
      <c r="D83" s="10" t="s">
        <v>855</v>
      </c>
      <c r="E83" s="10" t="s">
        <v>36</v>
      </c>
      <c r="F83" s="10" t="s">
        <v>857</v>
      </c>
      <c r="G83" s="10" t="s">
        <v>858</v>
      </c>
      <c r="H83" s="10" t="s">
        <v>859</v>
      </c>
      <c r="I83" s="10" t="s">
        <v>860</v>
      </c>
      <c r="J83" s="10" t="s">
        <v>861</v>
      </c>
      <c r="K83" s="13" t="s">
        <v>862</v>
      </c>
      <c r="L83" s="12" t="s">
        <v>109</v>
      </c>
    </row>
    <row r="84" spans="1:12" ht="14.25" customHeight="1">
      <c r="A84" s="10">
        <v>226</v>
      </c>
      <c r="B84" s="10" t="s">
        <v>107</v>
      </c>
      <c r="C84" s="12" t="s">
        <v>141</v>
      </c>
      <c r="D84" s="10" t="s">
        <v>864</v>
      </c>
      <c r="E84" s="10" t="s">
        <v>36</v>
      </c>
      <c r="F84" s="10" t="s">
        <v>865</v>
      </c>
      <c r="G84" s="10" t="s">
        <v>866</v>
      </c>
      <c r="H84" s="10" t="s">
        <v>867</v>
      </c>
      <c r="I84" s="10" t="s">
        <v>869</v>
      </c>
      <c r="J84" s="10" t="s">
        <v>870</v>
      </c>
      <c r="K84" s="13" t="s">
        <v>871</v>
      </c>
      <c r="L84" s="12" t="s">
        <v>120</v>
      </c>
    </row>
    <row r="85" spans="1:12" ht="14.25" customHeight="1">
      <c r="A85" s="10">
        <v>231</v>
      </c>
      <c r="B85" s="10" t="s">
        <v>107</v>
      </c>
      <c r="C85" s="12" t="s">
        <v>141</v>
      </c>
      <c r="D85" s="10" t="s">
        <v>874</v>
      </c>
      <c r="E85" s="10" t="s">
        <v>36</v>
      </c>
      <c r="F85" s="10" t="s">
        <v>876</v>
      </c>
      <c r="G85" s="10" t="s">
        <v>878</v>
      </c>
      <c r="H85" s="10" t="s">
        <v>879</v>
      </c>
      <c r="I85" s="10" t="s">
        <v>880</v>
      </c>
      <c r="J85" s="10" t="s">
        <v>881</v>
      </c>
      <c r="K85" s="13" t="s">
        <v>882</v>
      </c>
      <c r="L85" s="12" t="s">
        <v>128</v>
      </c>
    </row>
    <row r="86" spans="1:12" ht="14.25" customHeight="1">
      <c r="A86" s="10">
        <v>238</v>
      </c>
      <c r="B86" s="10" t="s">
        <v>107</v>
      </c>
      <c r="C86" s="12" t="s">
        <v>141</v>
      </c>
      <c r="D86" s="10" t="s">
        <v>884</v>
      </c>
      <c r="E86" s="10" t="s">
        <v>36</v>
      </c>
      <c r="F86" s="10" t="s">
        <v>885</v>
      </c>
      <c r="G86" s="10" t="s">
        <v>887</v>
      </c>
      <c r="H86" s="10" t="s">
        <v>888</v>
      </c>
      <c r="I86" s="10" t="s">
        <v>889</v>
      </c>
      <c r="J86" s="10" t="s">
        <v>890</v>
      </c>
      <c r="K86" s="13" t="s">
        <v>892</v>
      </c>
      <c r="L86" s="12" t="s">
        <v>140</v>
      </c>
    </row>
    <row r="87" spans="1:12" ht="14.25" customHeight="1">
      <c r="A87" s="10">
        <v>233</v>
      </c>
      <c r="B87" s="10" t="s">
        <v>107</v>
      </c>
      <c r="C87" s="12" t="s">
        <v>141</v>
      </c>
      <c r="D87" s="10" t="s">
        <v>896</v>
      </c>
      <c r="E87" s="10" t="s">
        <v>36</v>
      </c>
      <c r="F87" s="10" t="s">
        <v>898</v>
      </c>
      <c r="G87" s="10" t="s">
        <v>899</v>
      </c>
      <c r="H87" s="10" t="s">
        <v>900</v>
      </c>
      <c r="I87" s="10" t="s">
        <v>901</v>
      </c>
      <c r="J87" s="10" t="s">
        <v>902</v>
      </c>
      <c r="K87" s="13" t="s">
        <v>903</v>
      </c>
      <c r="L87" s="12" t="s">
        <v>284</v>
      </c>
    </row>
    <row r="88" spans="1:12" ht="14.25" customHeight="1">
      <c r="A88" s="10">
        <v>245</v>
      </c>
      <c r="B88" s="10" t="s">
        <v>107</v>
      </c>
      <c r="C88" s="12" t="s">
        <v>141</v>
      </c>
      <c r="D88" s="10" t="s">
        <v>904</v>
      </c>
      <c r="E88" s="10" t="s">
        <v>36</v>
      </c>
      <c r="F88" s="10" t="s">
        <v>905</v>
      </c>
      <c r="G88" s="10" t="s">
        <v>907</v>
      </c>
      <c r="H88" s="10" t="s">
        <v>909</v>
      </c>
      <c r="I88" s="10" t="s">
        <v>911</v>
      </c>
      <c r="J88" s="10" t="s">
        <v>912</v>
      </c>
      <c r="K88" s="13" t="s">
        <v>914</v>
      </c>
      <c r="L88" s="12" t="s">
        <v>296</v>
      </c>
    </row>
    <row r="89" spans="1:12" ht="14.25" customHeight="1">
      <c r="A89" s="10">
        <v>250</v>
      </c>
      <c r="B89" s="10" t="s">
        <v>107</v>
      </c>
      <c r="C89" s="12" t="s">
        <v>141</v>
      </c>
      <c r="D89" s="10" t="s">
        <v>917</v>
      </c>
      <c r="E89" s="10" t="s">
        <v>36</v>
      </c>
      <c r="F89" s="10" t="s">
        <v>918</v>
      </c>
      <c r="G89" s="10" t="s">
        <v>920</v>
      </c>
      <c r="H89" s="10" t="s">
        <v>921</v>
      </c>
      <c r="I89" s="10" t="s">
        <v>922</v>
      </c>
      <c r="J89" s="10" t="s">
        <v>923</v>
      </c>
      <c r="K89" s="13" t="s">
        <v>924</v>
      </c>
      <c r="L89" s="12" t="s">
        <v>309</v>
      </c>
    </row>
    <row r="90" spans="1:12" ht="14.25" customHeight="1">
      <c r="A90" s="10">
        <v>230</v>
      </c>
      <c r="B90" s="10" t="s">
        <v>107</v>
      </c>
      <c r="C90" s="12" t="s">
        <v>141</v>
      </c>
      <c r="D90" s="10" t="s">
        <v>926</v>
      </c>
      <c r="E90" s="10" t="s">
        <v>624</v>
      </c>
      <c r="F90" s="10" t="s">
        <v>927</v>
      </c>
      <c r="G90" s="10" t="s">
        <v>928</v>
      </c>
      <c r="H90" s="10" t="s">
        <v>929</v>
      </c>
      <c r="I90" s="10" t="s">
        <v>930</v>
      </c>
      <c r="J90" s="10" t="s">
        <v>932</v>
      </c>
      <c r="K90" s="13" t="s">
        <v>933</v>
      </c>
      <c r="L90" s="12" t="s">
        <v>321</v>
      </c>
    </row>
    <row r="91" spans="1:12" ht="14.25" customHeight="1">
      <c r="A91" s="10">
        <v>240</v>
      </c>
      <c r="B91" s="10" t="s">
        <v>107</v>
      </c>
      <c r="C91" s="12" t="s">
        <v>141</v>
      </c>
      <c r="D91" s="10" t="s">
        <v>934</v>
      </c>
      <c r="E91" s="10" t="s">
        <v>36</v>
      </c>
      <c r="F91" s="10" t="s">
        <v>936</v>
      </c>
      <c r="G91" s="10" t="s">
        <v>938</v>
      </c>
      <c r="H91" s="10" t="s">
        <v>939</v>
      </c>
      <c r="I91" s="10" t="s">
        <v>940</v>
      </c>
      <c r="J91" s="10" t="s">
        <v>941</v>
      </c>
      <c r="K91" s="13" t="s">
        <v>943</v>
      </c>
      <c r="L91" s="12" t="s">
        <v>330</v>
      </c>
    </row>
    <row r="92" spans="1:12" ht="14.25" customHeight="1">
      <c r="A92" s="10">
        <v>241</v>
      </c>
      <c r="B92" s="10" t="s">
        <v>107</v>
      </c>
      <c r="C92" s="12" t="s">
        <v>141</v>
      </c>
      <c r="D92" s="10" t="s">
        <v>947</v>
      </c>
      <c r="E92" s="10" t="s">
        <v>36</v>
      </c>
      <c r="F92" s="10" t="s">
        <v>948</v>
      </c>
      <c r="G92" s="10" t="s">
        <v>949</v>
      </c>
      <c r="H92" s="10" t="s">
        <v>950</v>
      </c>
      <c r="I92" s="10" t="s">
        <v>952</v>
      </c>
      <c r="J92" s="10" t="s">
        <v>953</v>
      </c>
      <c r="K92" s="13" t="s">
        <v>955</v>
      </c>
      <c r="L92" s="12" t="s">
        <v>346</v>
      </c>
    </row>
    <row r="93" spans="1:12" ht="14.25" customHeight="1">
      <c r="A93" s="10">
        <v>248</v>
      </c>
      <c r="B93" s="10" t="s">
        <v>107</v>
      </c>
      <c r="C93" s="12" t="s">
        <v>141</v>
      </c>
      <c r="D93" s="10" t="s">
        <v>958</v>
      </c>
      <c r="E93" s="10" t="s">
        <v>36</v>
      </c>
      <c r="F93" s="10" t="s">
        <v>960</v>
      </c>
      <c r="G93" s="10" t="s">
        <v>961</v>
      </c>
      <c r="H93" s="10" t="s">
        <v>962</v>
      </c>
      <c r="I93" s="10" t="s">
        <v>963</v>
      </c>
      <c r="J93" s="10" t="s">
        <v>964</v>
      </c>
      <c r="K93" s="13" t="s">
        <v>967</v>
      </c>
      <c r="L93" s="12" t="s">
        <v>358</v>
      </c>
    </row>
    <row r="94" spans="1:12" ht="14.25" customHeight="1">
      <c r="A94" s="10">
        <v>234</v>
      </c>
      <c r="B94" s="10" t="s">
        <v>107</v>
      </c>
      <c r="C94" s="12" t="s">
        <v>141</v>
      </c>
      <c r="D94" s="10" t="s">
        <v>971</v>
      </c>
      <c r="E94" s="10" t="s">
        <v>72</v>
      </c>
      <c r="F94" s="10" t="s">
        <v>226</v>
      </c>
      <c r="G94" s="10" t="s">
        <v>972</v>
      </c>
      <c r="H94" s="10" t="s">
        <v>973</v>
      </c>
      <c r="I94" s="10" t="s">
        <v>974</v>
      </c>
      <c r="J94" s="10" t="s">
        <v>976</v>
      </c>
      <c r="K94" s="13" t="s">
        <v>978</v>
      </c>
      <c r="L94" s="12" t="s">
        <v>369</v>
      </c>
    </row>
    <row r="95" spans="1:12" ht="14.25" customHeight="1">
      <c r="A95" s="10">
        <v>237</v>
      </c>
      <c r="B95" s="10" t="s">
        <v>107</v>
      </c>
      <c r="C95" s="12" t="s">
        <v>141</v>
      </c>
      <c r="D95" s="10" t="s">
        <v>980</v>
      </c>
      <c r="E95" s="10" t="s">
        <v>72</v>
      </c>
      <c r="F95" s="10" t="s">
        <v>982</v>
      </c>
      <c r="G95" s="10" t="s">
        <v>983</v>
      </c>
      <c r="H95" s="10" t="s">
        <v>984</v>
      </c>
      <c r="I95" s="10" t="s">
        <v>985</v>
      </c>
      <c r="J95" s="10" t="s">
        <v>986</v>
      </c>
      <c r="K95" s="13" t="s">
        <v>987</v>
      </c>
      <c r="L95" s="12" t="s">
        <v>377</v>
      </c>
    </row>
    <row r="96" spans="1:12" ht="14.25" customHeight="1">
      <c r="A96" s="10">
        <v>244</v>
      </c>
      <c r="B96" s="10" t="s">
        <v>107</v>
      </c>
      <c r="C96" s="12" t="s">
        <v>141</v>
      </c>
      <c r="D96" s="10" t="s">
        <v>988</v>
      </c>
      <c r="E96" s="10" t="s">
        <v>155</v>
      </c>
      <c r="F96" s="10" t="s">
        <v>991</v>
      </c>
      <c r="G96" s="10" t="s">
        <v>993</v>
      </c>
      <c r="H96" s="10" t="s">
        <v>994</v>
      </c>
      <c r="I96" s="10" t="s">
        <v>996</v>
      </c>
      <c r="J96" s="10" t="s">
        <v>998</v>
      </c>
      <c r="K96" s="13" t="s">
        <v>999</v>
      </c>
      <c r="L96" s="12" t="s">
        <v>389</v>
      </c>
    </row>
    <row r="97" spans="1:12" ht="14.25" customHeight="1">
      <c r="A97" s="10">
        <v>242</v>
      </c>
      <c r="B97" s="10" t="s">
        <v>107</v>
      </c>
      <c r="C97" s="12" t="s">
        <v>141</v>
      </c>
      <c r="D97" s="10" t="s">
        <v>1003</v>
      </c>
      <c r="E97" s="10" t="s">
        <v>155</v>
      </c>
      <c r="F97" s="10" t="s">
        <v>1004</v>
      </c>
      <c r="G97" s="10" t="s">
        <v>1005</v>
      </c>
      <c r="H97" s="10" t="s">
        <v>1006</v>
      </c>
      <c r="I97" s="10" t="s">
        <v>1007</v>
      </c>
      <c r="J97" s="10" t="s">
        <v>1008</v>
      </c>
      <c r="K97" s="13" t="s">
        <v>1009</v>
      </c>
      <c r="L97" s="12" t="s">
        <v>400</v>
      </c>
    </row>
    <row r="98" spans="1:12" ht="14.25" customHeight="1">
      <c r="A98" s="10">
        <v>243</v>
      </c>
      <c r="B98" s="10" t="s">
        <v>107</v>
      </c>
      <c r="C98" s="12" t="s">
        <v>141</v>
      </c>
      <c r="D98" s="10" t="s">
        <v>1012</v>
      </c>
      <c r="E98" s="10" t="s">
        <v>36</v>
      </c>
      <c r="F98" s="10" t="s">
        <v>1014</v>
      </c>
      <c r="G98" s="10" t="s">
        <v>1015</v>
      </c>
      <c r="H98" s="10" t="s">
        <v>1017</v>
      </c>
      <c r="I98" s="10" t="s">
        <v>1019</v>
      </c>
      <c r="J98" s="10" t="s">
        <v>1020</v>
      </c>
      <c r="K98" s="13" t="s">
        <v>1021</v>
      </c>
      <c r="L98" s="12" t="s">
        <v>411</v>
      </c>
    </row>
    <row r="99" spans="1:12" ht="14.25" customHeight="1">
      <c r="A99" s="10">
        <v>156</v>
      </c>
      <c r="B99" s="10" t="s">
        <v>260</v>
      </c>
      <c r="C99" s="12" t="s">
        <v>141</v>
      </c>
      <c r="D99" s="10" t="s">
        <v>262</v>
      </c>
      <c r="E99" s="10" t="s">
        <v>264</v>
      </c>
      <c r="F99" s="10" t="s">
        <v>1023</v>
      </c>
      <c r="G99" s="10" t="s">
        <v>1024</v>
      </c>
      <c r="H99" s="10" t="s">
        <v>1025</v>
      </c>
      <c r="I99" s="10" t="s">
        <v>1026</v>
      </c>
      <c r="J99" s="10" t="s">
        <v>1028</v>
      </c>
      <c r="K99" s="13" t="s">
        <v>266</v>
      </c>
      <c r="L99" s="12" t="s">
        <v>34</v>
      </c>
    </row>
    <row r="100" spans="1:12" ht="14.25" customHeight="1">
      <c r="A100" s="10">
        <v>160</v>
      </c>
      <c r="B100" s="10" t="s">
        <v>260</v>
      </c>
      <c r="C100" s="12" t="s">
        <v>141</v>
      </c>
      <c r="D100" s="10" t="s">
        <v>279</v>
      </c>
      <c r="E100" s="10" t="s">
        <v>281</v>
      </c>
      <c r="F100" s="10" t="s">
        <v>1038</v>
      </c>
      <c r="G100" s="10" t="s">
        <v>1039</v>
      </c>
      <c r="H100" s="10" t="s">
        <v>1041</v>
      </c>
      <c r="I100" s="10" t="s">
        <v>1042</v>
      </c>
      <c r="J100" s="10" t="s">
        <v>1044</v>
      </c>
      <c r="K100" s="13" t="s">
        <v>283</v>
      </c>
      <c r="L100" s="12" t="s">
        <v>43</v>
      </c>
    </row>
    <row r="101" spans="1:12" ht="14.25" customHeight="1">
      <c r="A101" s="10">
        <v>175</v>
      </c>
      <c r="B101" s="10" t="s">
        <v>260</v>
      </c>
      <c r="C101" s="12" t="s">
        <v>141</v>
      </c>
      <c r="D101" s="10" t="s">
        <v>292</v>
      </c>
      <c r="E101" s="10" t="s">
        <v>294</v>
      </c>
      <c r="F101" s="10" t="s">
        <v>1047</v>
      </c>
      <c r="G101" s="10" t="s">
        <v>1049</v>
      </c>
      <c r="H101" s="10" t="s">
        <v>1050</v>
      </c>
      <c r="I101" s="10" t="s">
        <v>1051</v>
      </c>
      <c r="J101" s="10" t="s">
        <v>1053</v>
      </c>
      <c r="K101" s="13" t="s">
        <v>297</v>
      </c>
      <c r="L101" s="12" t="s">
        <v>52</v>
      </c>
    </row>
    <row r="102" spans="1:12" ht="14.25" customHeight="1">
      <c r="A102" s="10">
        <v>133</v>
      </c>
      <c r="B102" s="10" t="s">
        <v>331</v>
      </c>
      <c r="C102" s="12" t="s">
        <v>23</v>
      </c>
      <c r="D102" s="10" t="s">
        <v>332</v>
      </c>
      <c r="E102" s="10" t="s">
        <v>334</v>
      </c>
      <c r="F102" s="10" t="s">
        <v>1055</v>
      </c>
      <c r="G102" s="10" t="s">
        <v>1056</v>
      </c>
      <c r="H102" s="10" t="s">
        <v>1057</v>
      </c>
      <c r="I102" s="10" t="s">
        <v>1059</v>
      </c>
      <c r="J102" s="10" t="s">
        <v>1060</v>
      </c>
      <c r="K102" s="13" t="s">
        <v>336</v>
      </c>
      <c r="L102" s="12" t="s">
        <v>34</v>
      </c>
    </row>
    <row r="103" spans="1:12" ht="14.25" customHeight="1">
      <c r="A103" s="10">
        <v>130</v>
      </c>
      <c r="B103" s="10" t="s">
        <v>331</v>
      </c>
      <c r="C103" s="12" t="s">
        <v>23</v>
      </c>
      <c r="D103" s="10" t="s">
        <v>347</v>
      </c>
      <c r="E103" s="10" t="s">
        <v>349</v>
      </c>
      <c r="F103" s="10" t="s">
        <v>1065</v>
      </c>
      <c r="G103" s="10" t="s">
        <v>1066</v>
      </c>
      <c r="H103" s="10" t="s">
        <v>1067</v>
      </c>
      <c r="I103" s="10" t="s">
        <v>1069</v>
      </c>
      <c r="J103" s="10" t="s">
        <v>1070</v>
      </c>
      <c r="K103" s="13" t="s">
        <v>350</v>
      </c>
      <c r="L103" s="12" t="s">
        <v>43</v>
      </c>
    </row>
    <row r="104" spans="1:12" ht="14.25" customHeight="1">
      <c r="A104" s="10">
        <v>131</v>
      </c>
      <c r="B104" s="10" t="s">
        <v>331</v>
      </c>
      <c r="C104" s="12" t="s">
        <v>23</v>
      </c>
      <c r="D104" s="10" t="s">
        <v>1073</v>
      </c>
      <c r="E104" s="10" t="s">
        <v>446</v>
      </c>
      <c r="F104" s="10" t="s">
        <v>1074</v>
      </c>
      <c r="G104" s="10" t="s">
        <v>1075</v>
      </c>
      <c r="H104" s="10" t="s">
        <v>1076</v>
      </c>
      <c r="I104" s="10" t="s">
        <v>1077</v>
      </c>
      <c r="J104" s="10" t="s">
        <v>1079</v>
      </c>
      <c r="K104" s="13" t="s">
        <v>1080</v>
      </c>
      <c r="L104" s="12" t="s">
        <v>538</v>
      </c>
    </row>
    <row r="105" spans="1:12" ht="14.25" customHeight="1">
      <c r="A105" s="10">
        <v>146</v>
      </c>
      <c r="B105" s="10" t="s">
        <v>331</v>
      </c>
      <c r="C105" s="12" t="s">
        <v>141</v>
      </c>
      <c r="D105" s="10" t="s">
        <v>378</v>
      </c>
      <c r="E105" s="10" t="s">
        <v>349</v>
      </c>
      <c r="F105" s="10" t="s">
        <v>1081</v>
      </c>
      <c r="G105" s="10" t="s">
        <v>1082</v>
      </c>
      <c r="H105" s="10" t="s">
        <v>1083</v>
      </c>
      <c r="I105" s="10" t="s">
        <v>1084</v>
      </c>
      <c r="J105" s="10" t="s">
        <v>1085</v>
      </c>
      <c r="K105" s="13" t="s">
        <v>380</v>
      </c>
      <c r="L105" s="12" t="s">
        <v>34</v>
      </c>
    </row>
    <row r="106" spans="1:12" ht="14.25" customHeight="1">
      <c r="A106" s="10">
        <v>172</v>
      </c>
      <c r="B106" s="10" t="s">
        <v>331</v>
      </c>
      <c r="C106" s="12" t="s">
        <v>141</v>
      </c>
      <c r="D106" s="10" t="s">
        <v>388</v>
      </c>
      <c r="E106" s="10" t="s">
        <v>390</v>
      </c>
      <c r="F106" s="10" t="s">
        <v>1087</v>
      </c>
      <c r="G106" s="10" t="s">
        <v>1088</v>
      </c>
      <c r="H106" s="10" t="s">
        <v>1090</v>
      </c>
      <c r="I106" s="10" t="s">
        <v>1091</v>
      </c>
      <c r="J106" s="10" t="s">
        <v>1092</v>
      </c>
      <c r="K106" s="13" t="s">
        <v>391</v>
      </c>
      <c r="L106" s="12" t="s">
        <v>43</v>
      </c>
    </row>
    <row r="107" spans="1:12" ht="14.25" customHeight="1">
      <c r="A107" s="10">
        <v>149</v>
      </c>
      <c r="B107" s="10" t="s">
        <v>331</v>
      </c>
      <c r="C107" s="12" t="s">
        <v>141</v>
      </c>
      <c r="D107" s="10" t="s">
        <v>401</v>
      </c>
      <c r="E107" s="10" t="s">
        <v>183</v>
      </c>
      <c r="F107" s="10" t="s">
        <v>1095</v>
      </c>
      <c r="G107" s="10" t="s">
        <v>1097</v>
      </c>
      <c r="H107" s="10" t="s">
        <v>1098</v>
      </c>
      <c r="I107" s="10" t="s">
        <v>1099</v>
      </c>
      <c r="J107" s="10" t="s">
        <v>1100</v>
      </c>
      <c r="K107" s="13" t="s">
        <v>402</v>
      </c>
      <c r="L107" s="12" t="s">
        <v>52</v>
      </c>
    </row>
    <row r="108" spans="1:12" ht="14.25" customHeight="1">
      <c r="A108" s="10">
        <v>176</v>
      </c>
      <c r="B108" s="10" t="s">
        <v>331</v>
      </c>
      <c r="C108" s="12" t="s">
        <v>141</v>
      </c>
      <c r="D108" s="10" t="s">
        <v>385</v>
      </c>
      <c r="E108" s="10" t="s">
        <v>1102</v>
      </c>
      <c r="F108" s="10" t="s">
        <v>1103</v>
      </c>
      <c r="G108" s="10" t="s">
        <v>1104</v>
      </c>
      <c r="H108" s="10" t="s">
        <v>1105</v>
      </c>
      <c r="I108" s="10" t="s">
        <v>1106</v>
      </c>
      <c r="J108" s="10" t="s">
        <v>1107</v>
      </c>
      <c r="K108" s="13" t="s">
        <v>1108</v>
      </c>
      <c r="L108" s="12" t="s">
        <v>61</v>
      </c>
    </row>
    <row r="109" spans="1:12" ht="14.25" customHeight="1">
      <c r="A109" s="10">
        <v>171</v>
      </c>
      <c r="B109" s="10" t="s">
        <v>331</v>
      </c>
      <c r="C109" s="12" t="s">
        <v>141</v>
      </c>
      <c r="D109" s="10" t="s">
        <v>1110</v>
      </c>
      <c r="E109" s="10" t="s">
        <v>281</v>
      </c>
      <c r="F109" s="10" t="s">
        <v>1112</v>
      </c>
      <c r="G109" s="10" t="s">
        <v>1113</v>
      </c>
      <c r="H109" s="10" t="s">
        <v>1114</v>
      </c>
      <c r="I109" s="10" t="s">
        <v>1116</v>
      </c>
      <c r="J109" s="10" t="s">
        <v>1117</v>
      </c>
      <c r="K109" s="13" t="s">
        <v>1118</v>
      </c>
      <c r="L109" s="12" t="s">
        <v>70</v>
      </c>
    </row>
    <row r="110" spans="1:12" ht="14.25" customHeight="1">
      <c r="A110" s="10">
        <v>166</v>
      </c>
      <c r="B110" s="10" t="s">
        <v>331</v>
      </c>
      <c r="C110" s="12" t="s">
        <v>141</v>
      </c>
      <c r="D110" s="10" t="s">
        <v>844</v>
      </c>
      <c r="E110" s="10" t="s">
        <v>446</v>
      </c>
      <c r="F110" s="10" t="s">
        <v>1119</v>
      </c>
      <c r="G110" s="10" t="s">
        <v>1120</v>
      </c>
      <c r="H110" s="10" t="s">
        <v>1121</v>
      </c>
      <c r="I110" s="10" t="s">
        <v>1122</v>
      </c>
      <c r="J110" s="10" t="s">
        <v>1123</v>
      </c>
      <c r="K110" s="13" t="s">
        <v>1124</v>
      </c>
      <c r="L110" s="12" t="s">
        <v>79</v>
      </c>
    </row>
    <row r="111" spans="1:12" ht="14.25" customHeight="1">
      <c r="A111" s="10">
        <v>178</v>
      </c>
      <c r="B111" s="10" t="s">
        <v>331</v>
      </c>
      <c r="C111" s="12" t="s">
        <v>141</v>
      </c>
      <c r="D111" s="10" t="s">
        <v>272</v>
      </c>
      <c r="E111" s="10" t="s">
        <v>1125</v>
      </c>
      <c r="F111" s="10" t="s">
        <v>1127</v>
      </c>
      <c r="G111" s="10" t="s">
        <v>1128</v>
      </c>
      <c r="H111" s="10" t="s">
        <v>1129</v>
      </c>
      <c r="I111" s="10" t="s">
        <v>1130</v>
      </c>
      <c r="J111" s="10" t="s">
        <v>1132</v>
      </c>
      <c r="K111" s="13" t="s">
        <v>1133</v>
      </c>
      <c r="L111" s="12" t="s">
        <v>90</v>
      </c>
    </row>
    <row r="112" spans="1:12" ht="14.25" customHeight="1">
      <c r="A112" s="10">
        <v>142</v>
      </c>
      <c r="B112" s="10" t="s">
        <v>331</v>
      </c>
      <c r="C112" s="12" t="s">
        <v>141</v>
      </c>
      <c r="D112" s="10" t="s">
        <v>1137</v>
      </c>
      <c r="E112" s="10" t="s">
        <v>183</v>
      </c>
      <c r="F112" s="10" t="s">
        <v>1138</v>
      </c>
      <c r="G112" s="10" t="s">
        <v>1139</v>
      </c>
      <c r="H112" s="10" t="s">
        <v>1140</v>
      </c>
      <c r="I112" s="10" t="s">
        <v>1141</v>
      </c>
      <c r="J112" s="10" t="s">
        <v>1142</v>
      </c>
      <c r="K112" s="13" t="s">
        <v>1143</v>
      </c>
      <c r="L112" s="12" t="s">
        <v>100</v>
      </c>
    </row>
    <row r="113" spans="1:12" ht="14.25" customHeight="1">
      <c r="A113" s="10">
        <v>163</v>
      </c>
      <c r="B113" s="10" t="s">
        <v>331</v>
      </c>
      <c r="C113" s="12" t="s">
        <v>141</v>
      </c>
      <c r="D113" s="10" t="s">
        <v>894</v>
      </c>
      <c r="E113" s="10" t="s">
        <v>390</v>
      </c>
      <c r="F113" s="10" t="s">
        <v>1152</v>
      </c>
      <c r="G113" s="10" t="s">
        <v>1153</v>
      </c>
      <c r="H113" s="10" t="s">
        <v>1154</v>
      </c>
      <c r="I113" s="10" t="s">
        <v>1155</v>
      </c>
      <c r="J113" s="10" t="s">
        <v>1156</v>
      </c>
      <c r="K113" s="13" t="s">
        <v>1157</v>
      </c>
      <c r="L113" s="12" t="s">
        <v>109</v>
      </c>
    </row>
    <row r="114" spans="1:12" ht="14.25" customHeight="1">
      <c r="A114" s="10">
        <v>155</v>
      </c>
      <c r="B114" s="10" t="s">
        <v>331</v>
      </c>
      <c r="C114" s="12" t="s">
        <v>141</v>
      </c>
      <c r="D114" s="10" t="s">
        <v>558</v>
      </c>
      <c r="E114" s="10" t="s">
        <v>559</v>
      </c>
      <c r="F114" s="10" t="s">
        <v>1160</v>
      </c>
      <c r="G114" s="10" t="s">
        <v>1161</v>
      </c>
      <c r="H114" s="10" t="s">
        <v>1162</v>
      </c>
      <c r="I114" s="10" t="s">
        <v>1164</v>
      </c>
      <c r="J114" s="10" t="s">
        <v>1165</v>
      </c>
      <c r="K114" s="13" t="s">
        <v>1166</v>
      </c>
      <c r="L114" s="12" t="s">
        <v>120</v>
      </c>
    </row>
    <row r="115" spans="1:12" ht="14.25" customHeight="1">
      <c r="A115" s="10">
        <v>168</v>
      </c>
      <c r="B115" s="10" t="s">
        <v>331</v>
      </c>
      <c r="C115" s="12" t="s">
        <v>141</v>
      </c>
      <c r="D115" s="10" t="s">
        <v>997</v>
      </c>
      <c r="E115" s="10" t="s">
        <v>1169</v>
      </c>
      <c r="F115" s="10" t="s">
        <v>1170</v>
      </c>
      <c r="G115" s="10" t="s">
        <v>1171</v>
      </c>
      <c r="H115" s="10" t="s">
        <v>1172</v>
      </c>
      <c r="I115" s="10" t="s">
        <v>1173</v>
      </c>
      <c r="J115" s="10" t="s">
        <v>1174</v>
      </c>
      <c r="K115" s="13" t="s">
        <v>1175</v>
      </c>
      <c r="L115" s="12" t="s">
        <v>128</v>
      </c>
    </row>
    <row r="116" spans="1:12" ht="14.25" customHeight="1">
      <c r="A116" s="10">
        <v>145</v>
      </c>
      <c r="B116" s="10" t="s">
        <v>331</v>
      </c>
      <c r="C116" s="12" t="s">
        <v>141</v>
      </c>
      <c r="D116" s="10" t="s">
        <v>65</v>
      </c>
      <c r="E116" s="10" t="s">
        <v>257</v>
      </c>
      <c r="F116" s="10" t="s">
        <v>1176</v>
      </c>
      <c r="G116" s="10" t="s">
        <v>1177</v>
      </c>
      <c r="H116" s="10" t="s">
        <v>1178</v>
      </c>
      <c r="I116" s="10" t="s">
        <v>1179</v>
      </c>
      <c r="J116" s="10" t="s">
        <v>1180</v>
      </c>
      <c r="K116" s="13" t="s">
        <v>1181</v>
      </c>
      <c r="L116" s="12" t="s">
        <v>140</v>
      </c>
    </row>
    <row r="117" spans="1:12" ht="14.25" customHeight="1">
      <c r="A117" s="10">
        <v>137</v>
      </c>
      <c r="B117" s="10" t="s">
        <v>331</v>
      </c>
      <c r="C117" s="12" t="s">
        <v>141</v>
      </c>
      <c r="D117" s="10" t="s">
        <v>1182</v>
      </c>
      <c r="E117" s="10" t="s">
        <v>446</v>
      </c>
      <c r="F117" s="10" t="s">
        <v>1184</v>
      </c>
      <c r="G117" s="10" t="s">
        <v>1185</v>
      </c>
      <c r="H117" s="10" t="s">
        <v>1186</v>
      </c>
      <c r="I117" s="10" t="s">
        <v>1188</v>
      </c>
      <c r="J117" s="10" t="s">
        <v>1189</v>
      </c>
      <c r="K117" s="13" t="s">
        <v>1190</v>
      </c>
      <c r="L117" s="12" t="s">
        <v>284</v>
      </c>
    </row>
    <row r="118" spans="1:12" ht="14.25" customHeight="1">
      <c r="A118" s="10">
        <v>153</v>
      </c>
      <c r="B118" s="10" t="s">
        <v>331</v>
      </c>
      <c r="C118" s="12" t="s">
        <v>141</v>
      </c>
      <c r="D118" s="10" t="s">
        <v>1194</v>
      </c>
      <c r="E118" s="10" t="s">
        <v>446</v>
      </c>
      <c r="F118" s="10" t="s">
        <v>1195</v>
      </c>
      <c r="G118" s="10" t="s">
        <v>1196</v>
      </c>
      <c r="H118" s="10" t="s">
        <v>1197</v>
      </c>
      <c r="I118" s="10" t="s">
        <v>1199</v>
      </c>
      <c r="J118" s="10" t="s">
        <v>1200</v>
      </c>
      <c r="K118" s="13" t="s">
        <v>1201</v>
      </c>
      <c r="L118" s="12" t="s">
        <v>296</v>
      </c>
    </row>
    <row r="119" spans="1:12" ht="14.25" customHeight="1">
      <c r="A119" s="10">
        <v>185</v>
      </c>
      <c r="B119" s="10" t="s">
        <v>331</v>
      </c>
      <c r="C119" s="12" t="s">
        <v>141</v>
      </c>
      <c r="D119" s="10" t="s">
        <v>1062</v>
      </c>
      <c r="E119" s="10" t="s">
        <v>1102</v>
      </c>
      <c r="F119" s="10" t="s">
        <v>1202</v>
      </c>
      <c r="G119" s="10" t="s">
        <v>1203</v>
      </c>
      <c r="H119" s="10" t="s">
        <v>1204</v>
      </c>
      <c r="I119" s="10" t="s">
        <v>1205</v>
      </c>
      <c r="J119" s="10" t="s">
        <v>1206</v>
      </c>
      <c r="K119" s="13" t="s">
        <v>1207</v>
      </c>
      <c r="L119" s="12" t="s">
        <v>309</v>
      </c>
    </row>
    <row r="120" spans="1:12" ht="14.25" customHeight="1">
      <c r="A120" s="10">
        <v>161</v>
      </c>
      <c r="B120" s="10" t="s">
        <v>331</v>
      </c>
      <c r="C120" s="12" t="s">
        <v>141</v>
      </c>
      <c r="D120" s="10" t="s">
        <v>576</v>
      </c>
      <c r="E120" s="10" t="s">
        <v>334</v>
      </c>
      <c r="F120" s="10" t="s">
        <v>1208</v>
      </c>
      <c r="G120" s="10" t="s">
        <v>1209</v>
      </c>
      <c r="H120" s="10" t="s">
        <v>1210</v>
      </c>
      <c r="I120" s="10" t="s">
        <v>1211</v>
      </c>
      <c r="J120" s="10" t="s">
        <v>1212</v>
      </c>
      <c r="K120" s="13" t="s">
        <v>1213</v>
      </c>
      <c r="L120" s="12" t="s">
        <v>321</v>
      </c>
    </row>
    <row r="121" spans="1:12" ht="14.25" customHeight="1">
      <c r="A121" s="10">
        <v>167</v>
      </c>
      <c r="B121" s="10" t="s">
        <v>331</v>
      </c>
      <c r="C121" s="12" t="s">
        <v>141</v>
      </c>
      <c r="D121" s="10" t="s">
        <v>539</v>
      </c>
      <c r="E121" s="10" t="s">
        <v>559</v>
      </c>
      <c r="F121" s="10" t="s">
        <v>1217</v>
      </c>
      <c r="G121" s="10" t="s">
        <v>1218</v>
      </c>
      <c r="H121" s="10" t="s">
        <v>1219</v>
      </c>
      <c r="I121" s="10" t="s">
        <v>1220</v>
      </c>
      <c r="J121" s="10" t="s">
        <v>1222</v>
      </c>
      <c r="K121" s="13" t="s">
        <v>1223</v>
      </c>
      <c r="L121" s="12" t="s">
        <v>330</v>
      </c>
    </row>
    <row r="122" spans="1:12" ht="14.25" customHeight="1">
      <c r="A122" s="10">
        <v>165</v>
      </c>
      <c r="B122" s="10" t="s">
        <v>331</v>
      </c>
      <c r="C122" s="12" t="s">
        <v>141</v>
      </c>
      <c r="D122" s="10" t="s">
        <v>913</v>
      </c>
      <c r="E122" s="10" t="s">
        <v>1102</v>
      </c>
      <c r="F122" s="10" t="s">
        <v>1224</v>
      </c>
      <c r="G122" s="10" t="s">
        <v>1225</v>
      </c>
      <c r="H122" s="10" t="s">
        <v>1226</v>
      </c>
      <c r="I122" s="10" t="s">
        <v>1227</v>
      </c>
      <c r="J122" s="10" t="s">
        <v>1228</v>
      </c>
      <c r="K122" s="13" t="s">
        <v>1229</v>
      </c>
      <c r="L122" s="12" t="s">
        <v>346</v>
      </c>
    </row>
    <row r="123" spans="1:12" ht="14.25" customHeight="1">
      <c r="A123" s="10">
        <v>147</v>
      </c>
      <c r="B123" s="10" t="s">
        <v>331</v>
      </c>
      <c r="C123" s="12" t="s">
        <v>141</v>
      </c>
      <c r="D123" s="10" t="s">
        <v>747</v>
      </c>
      <c r="E123" s="10" t="s">
        <v>1233</v>
      </c>
      <c r="F123" s="10" t="s">
        <v>1235</v>
      </c>
      <c r="G123" s="10" t="s">
        <v>1237</v>
      </c>
      <c r="H123" s="10" t="s">
        <v>1239</v>
      </c>
      <c r="I123" s="10" t="s">
        <v>1240</v>
      </c>
      <c r="J123" s="10" t="s">
        <v>1241</v>
      </c>
      <c r="K123" s="13" t="s">
        <v>1242</v>
      </c>
      <c r="L123" s="12" t="s">
        <v>358</v>
      </c>
    </row>
    <row r="124" spans="1:12" ht="14.25" customHeight="1">
      <c r="A124" s="10">
        <v>152</v>
      </c>
      <c r="B124" s="10" t="s">
        <v>331</v>
      </c>
      <c r="C124" s="12" t="s">
        <v>141</v>
      </c>
      <c r="D124" s="10" t="s">
        <v>339</v>
      </c>
      <c r="E124" s="10" t="s">
        <v>390</v>
      </c>
      <c r="F124" s="10" t="s">
        <v>1244</v>
      </c>
      <c r="G124" s="10" t="s">
        <v>1245</v>
      </c>
      <c r="H124" s="10" t="s">
        <v>1247</v>
      </c>
      <c r="I124" s="10" t="s">
        <v>1248</v>
      </c>
      <c r="J124" s="10" t="s">
        <v>1249</v>
      </c>
      <c r="K124" s="13" t="s">
        <v>1251</v>
      </c>
      <c r="L124" s="12" t="s">
        <v>369</v>
      </c>
    </row>
    <row r="125" spans="1:12" ht="14.25" customHeight="1">
      <c r="A125" s="10">
        <v>183</v>
      </c>
      <c r="B125" s="10" t="s">
        <v>331</v>
      </c>
      <c r="C125" s="12" t="s">
        <v>141</v>
      </c>
      <c r="D125" s="10" t="s">
        <v>238</v>
      </c>
      <c r="E125" s="10" t="s">
        <v>390</v>
      </c>
      <c r="F125" s="10" t="s">
        <v>1253</v>
      </c>
      <c r="G125" s="10" t="s">
        <v>1254</v>
      </c>
      <c r="H125" s="10" t="s">
        <v>1255</v>
      </c>
      <c r="I125" s="10" t="s">
        <v>1257</v>
      </c>
      <c r="J125" s="10" t="s">
        <v>1258</v>
      </c>
      <c r="K125" s="13" t="s">
        <v>1259</v>
      </c>
      <c r="L125" s="12" t="s">
        <v>377</v>
      </c>
    </row>
    <row r="126" spans="1:12" ht="14.25" customHeight="1">
      <c r="A126" s="10">
        <v>154</v>
      </c>
      <c r="B126" s="10" t="s">
        <v>331</v>
      </c>
      <c r="C126" s="12" t="s">
        <v>141</v>
      </c>
      <c r="D126" s="10" t="s">
        <v>1261</v>
      </c>
      <c r="E126" s="10" t="s">
        <v>1148</v>
      </c>
      <c r="F126" s="10" t="s">
        <v>1262</v>
      </c>
      <c r="G126" s="10" t="s">
        <v>1263</v>
      </c>
      <c r="H126" s="10" t="s">
        <v>1264</v>
      </c>
      <c r="I126" s="10" t="s">
        <v>1265</v>
      </c>
      <c r="J126" s="10" t="s">
        <v>1266</v>
      </c>
      <c r="K126" s="13" t="s">
        <v>1267</v>
      </c>
      <c r="L126" s="12" t="s">
        <v>389</v>
      </c>
    </row>
    <row r="127" spans="1:12" ht="14.25" customHeight="1">
      <c r="A127" s="10">
        <v>169</v>
      </c>
      <c r="B127" s="10" t="s">
        <v>331</v>
      </c>
      <c r="C127" s="12" t="s">
        <v>141</v>
      </c>
      <c r="D127" s="10" t="s">
        <v>621</v>
      </c>
      <c r="E127" s="10" t="s">
        <v>1268</v>
      </c>
      <c r="F127" s="10" t="s">
        <v>1269</v>
      </c>
      <c r="G127" s="10" t="s">
        <v>1270</v>
      </c>
      <c r="H127" s="10" t="s">
        <v>1271</v>
      </c>
      <c r="I127" s="10" t="s">
        <v>1272</v>
      </c>
      <c r="J127" s="10" t="s">
        <v>1273</v>
      </c>
      <c r="K127" s="13" t="s">
        <v>1274</v>
      </c>
      <c r="L127" s="12" t="s">
        <v>400</v>
      </c>
    </row>
    <row r="128" spans="1:12" ht="14.25" customHeight="1">
      <c r="A128" s="10">
        <v>181</v>
      </c>
      <c r="B128" s="10" t="s">
        <v>331</v>
      </c>
      <c r="C128" s="12" t="s">
        <v>141</v>
      </c>
      <c r="D128" s="10" t="s">
        <v>700</v>
      </c>
      <c r="E128" s="10" t="s">
        <v>1268</v>
      </c>
      <c r="F128" s="10" t="s">
        <v>1279</v>
      </c>
      <c r="G128" s="10" t="s">
        <v>1280</v>
      </c>
      <c r="H128" s="10" t="s">
        <v>1282</v>
      </c>
      <c r="I128" s="10" t="s">
        <v>1284</v>
      </c>
      <c r="J128" s="10" t="s">
        <v>1285</v>
      </c>
      <c r="K128" s="13" t="s">
        <v>1286</v>
      </c>
      <c r="L128" s="12" t="s">
        <v>411</v>
      </c>
    </row>
    <row r="129" spans="1:12" ht="14.25" customHeight="1">
      <c r="A129" s="10">
        <v>140</v>
      </c>
      <c r="B129" s="10" t="s">
        <v>331</v>
      </c>
      <c r="C129" s="12" t="s">
        <v>141</v>
      </c>
      <c r="D129" s="10" t="s">
        <v>868</v>
      </c>
      <c r="E129" s="10" t="s">
        <v>559</v>
      </c>
      <c r="F129" s="10" t="s">
        <v>1287</v>
      </c>
      <c r="G129" s="10" t="s">
        <v>1288</v>
      </c>
      <c r="H129" s="10" t="s">
        <v>1289</v>
      </c>
      <c r="I129" s="10" t="s">
        <v>1290</v>
      </c>
      <c r="J129" s="10" t="s">
        <v>1291</v>
      </c>
      <c r="K129" s="13" t="s">
        <v>1293</v>
      </c>
      <c r="L129" s="12" t="s">
        <v>421</v>
      </c>
    </row>
    <row r="130" spans="1:12" ht="14.25" customHeight="1">
      <c r="A130" s="10">
        <v>179</v>
      </c>
      <c r="B130" s="10" t="s">
        <v>331</v>
      </c>
      <c r="C130" s="12" t="s">
        <v>141</v>
      </c>
      <c r="D130" s="10" t="s">
        <v>1163</v>
      </c>
      <c r="E130" s="10" t="s">
        <v>334</v>
      </c>
      <c r="F130" s="10" t="s">
        <v>1297</v>
      </c>
      <c r="G130" s="10" t="s">
        <v>1298</v>
      </c>
      <c r="H130" s="10" t="s">
        <v>1299</v>
      </c>
      <c r="I130" s="10" t="s">
        <v>1300</v>
      </c>
      <c r="J130" s="10" t="s">
        <v>1302</v>
      </c>
      <c r="K130" s="13" t="s">
        <v>1303</v>
      </c>
      <c r="L130" s="12" t="s">
        <v>432</v>
      </c>
    </row>
    <row r="131" spans="1:12" ht="14.25" customHeight="1">
      <c r="A131" s="10">
        <v>139</v>
      </c>
      <c r="B131" s="10" t="s">
        <v>331</v>
      </c>
      <c r="C131" s="12" t="s">
        <v>141</v>
      </c>
      <c r="D131" s="10" t="s">
        <v>641</v>
      </c>
      <c r="E131" s="10" t="s">
        <v>1268</v>
      </c>
      <c r="F131" s="10" t="s">
        <v>1305</v>
      </c>
      <c r="G131" s="10" t="s">
        <v>1306</v>
      </c>
      <c r="H131" s="10" t="s">
        <v>1307</v>
      </c>
      <c r="I131" s="10" t="s">
        <v>1309</v>
      </c>
      <c r="J131" s="10" t="s">
        <v>1310</v>
      </c>
      <c r="K131" s="13" t="s">
        <v>1311</v>
      </c>
      <c r="L131" s="12" t="s">
        <v>442</v>
      </c>
    </row>
    <row r="132" spans="1:12" ht="14.25" customHeight="1">
      <c r="A132" s="10">
        <v>180</v>
      </c>
      <c r="B132" s="10" t="s">
        <v>331</v>
      </c>
      <c r="C132" s="12" t="s">
        <v>141</v>
      </c>
      <c r="D132" s="10" t="s">
        <v>1147</v>
      </c>
      <c r="E132" s="10" t="s">
        <v>1148</v>
      </c>
      <c r="F132" s="10" t="s">
        <v>1313</v>
      </c>
      <c r="G132" s="10" t="s">
        <v>1314</v>
      </c>
      <c r="H132" s="10" t="s">
        <v>1316</v>
      </c>
      <c r="I132" s="10" t="s">
        <v>1318</v>
      </c>
      <c r="J132" s="10" t="s">
        <v>1320</v>
      </c>
      <c r="K132" s="13" t="s">
        <v>1321</v>
      </c>
      <c r="L132" s="12" t="s">
        <v>455</v>
      </c>
    </row>
    <row r="133" spans="1:12" ht="14.25" customHeight="1">
      <c r="A133" s="10">
        <v>174</v>
      </c>
      <c r="B133" s="10" t="s">
        <v>331</v>
      </c>
      <c r="C133" s="12" t="s">
        <v>141</v>
      </c>
      <c r="D133" s="10" t="s">
        <v>1086</v>
      </c>
      <c r="E133" s="10" t="s">
        <v>349</v>
      </c>
      <c r="F133" s="10" t="s">
        <v>1323</v>
      </c>
      <c r="G133" s="10" t="s">
        <v>1324</v>
      </c>
      <c r="H133" s="10" t="s">
        <v>1325</v>
      </c>
      <c r="I133" s="10" t="s">
        <v>1326</v>
      </c>
      <c r="J133" s="10" t="s">
        <v>1327</v>
      </c>
      <c r="K133" s="13" t="s">
        <v>1328</v>
      </c>
      <c r="L133" s="12" t="s">
        <v>467</v>
      </c>
    </row>
    <row r="134" spans="1:12" ht="14.25" customHeight="1">
      <c r="A134" s="10">
        <v>141</v>
      </c>
      <c r="B134" s="10" t="s">
        <v>331</v>
      </c>
      <c r="C134" s="12" t="s">
        <v>141</v>
      </c>
      <c r="D134" s="10" t="s">
        <v>680</v>
      </c>
      <c r="E134" s="10" t="s">
        <v>1268</v>
      </c>
      <c r="F134" s="10" t="s">
        <v>1329</v>
      </c>
      <c r="G134" s="10" t="s">
        <v>1330</v>
      </c>
      <c r="H134" s="10" t="s">
        <v>556</v>
      </c>
      <c r="I134" s="10" t="s">
        <v>556</v>
      </c>
      <c r="J134" s="10" t="s">
        <v>1331</v>
      </c>
      <c r="K134" s="13" t="s">
        <v>1332</v>
      </c>
      <c r="L134" s="12" t="s">
        <v>538</v>
      </c>
    </row>
    <row r="135" spans="1:12" ht="14.25" customHeight="1">
      <c r="A135" s="10">
        <v>148</v>
      </c>
      <c r="B135" s="10" t="s">
        <v>331</v>
      </c>
      <c r="C135" s="12" t="s">
        <v>141</v>
      </c>
      <c r="D135" s="10" t="s">
        <v>656</v>
      </c>
      <c r="E135" s="10" t="s">
        <v>1268</v>
      </c>
      <c r="F135" s="10" t="s">
        <v>1336</v>
      </c>
      <c r="G135" s="10" t="s">
        <v>1337</v>
      </c>
      <c r="H135" s="10" t="s">
        <v>556</v>
      </c>
      <c r="I135" s="10" t="s">
        <v>556</v>
      </c>
      <c r="J135" s="10" t="s">
        <v>556</v>
      </c>
      <c r="K135" s="13" t="s">
        <v>556</v>
      </c>
      <c r="L135" s="12" t="s">
        <v>557</v>
      </c>
    </row>
    <row r="136" spans="1:12" ht="14.25" customHeight="1">
      <c r="A136" s="10">
        <v>194</v>
      </c>
      <c r="B136" s="10" t="s">
        <v>430</v>
      </c>
      <c r="C136" s="12" t="s">
        <v>141</v>
      </c>
      <c r="D136" s="10" t="s">
        <v>433</v>
      </c>
      <c r="E136" s="10" t="s">
        <v>390</v>
      </c>
      <c r="F136" s="10" t="s">
        <v>1339</v>
      </c>
      <c r="G136" s="10" t="s">
        <v>1340</v>
      </c>
      <c r="H136" s="10" t="s">
        <v>1341</v>
      </c>
      <c r="I136" s="10" t="s">
        <v>1342</v>
      </c>
      <c r="J136" s="10" t="s">
        <v>1343</v>
      </c>
      <c r="K136" s="13" t="s">
        <v>434</v>
      </c>
      <c r="L136" s="12" t="s">
        <v>34</v>
      </c>
    </row>
    <row r="137" spans="1:12" ht="14.25" customHeight="1">
      <c r="A137" s="10">
        <v>164</v>
      </c>
      <c r="B137" s="10" t="s">
        <v>430</v>
      </c>
      <c r="C137" s="12" t="s">
        <v>141</v>
      </c>
      <c r="D137" s="10" t="s">
        <v>444</v>
      </c>
      <c r="E137" s="10" t="s">
        <v>446</v>
      </c>
      <c r="F137" s="10" t="s">
        <v>1347</v>
      </c>
      <c r="G137" s="10" t="s">
        <v>1348</v>
      </c>
      <c r="H137" s="10" t="s">
        <v>1349</v>
      </c>
      <c r="I137" s="10" t="s">
        <v>1351</v>
      </c>
      <c r="J137" s="10" t="s">
        <v>1353</v>
      </c>
      <c r="K137" s="13" t="s">
        <v>448</v>
      </c>
      <c r="L137" s="12" t="s">
        <v>43</v>
      </c>
    </row>
    <row r="138" spans="1:12" ht="14.25" customHeight="1">
      <c r="A138" s="10">
        <v>189</v>
      </c>
      <c r="B138" s="10" t="s">
        <v>430</v>
      </c>
      <c r="C138" s="12" t="s">
        <v>141</v>
      </c>
      <c r="D138" s="10" t="s">
        <v>360</v>
      </c>
      <c r="E138" s="10" t="s">
        <v>458</v>
      </c>
      <c r="F138" s="10" t="s">
        <v>1356</v>
      </c>
      <c r="G138" s="10" t="s">
        <v>1358</v>
      </c>
      <c r="H138" s="10" t="s">
        <v>1360</v>
      </c>
      <c r="I138" s="10" t="s">
        <v>1361</v>
      </c>
      <c r="J138" s="10" t="s">
        <v>1362</v>
      </c>
      <c r="K138" s="13" t="s">
        <v>460</v>
      </c>
      <c r="L138" s="12" t="s">
        <v>52</v>
      </c>
    </row>
    <row r="139" spans="1:12" ht="14.25" customHeight="1">
      <c r="A139" s="10">
        <v>112</v>
      </c>
      <c r="B139" s="10" t="s">
        <v>430</v>
      </c>
      <c r="C139" s="12" t="s">
        <v>141</v>
      </c>
      <c r="D139" s="10" t="s">
        <v>1018</v>
      </c>
      <c r="E139" s="10" t="s">
        <v>334</v>
      </c>
      <c r="F139" s="10" t="s">
        <v>1367</v>
      </c>
      <c r="G139" s="10" t="s">
        <v>1368</v>
      </c>
      <c r="H139" s="10" t="s">
        <v>1369</v>
      </c>
      <c r="I139" s="10" t="s">
        <v>1370</v>
      </c>
      <c r="J139" s="10" t="s">
        <v>1371</v>
      </c>
      <c r="K139" s="13" t="s">
        <v>1373</v>
      </c>
      <c r="L139" s="12" t="s">
        <v>538</v>
      </c>
    </row>
    <row r="140" spans="1:12" ht="14.25" customHeight="1">
      <c r="A140" s="10">
        <v>121</v>
      </c>
      <c r="B140" s="10" t="s">
        <v>430</v>
      </c>
      <c r="C140" s="12" t="s">
        <v>141</v>
      </c>
      <c r="D140" s="10" t="s">
        <v>782</v>
      </c>
      <c r="E140" s="10" t="s">
        <v>334</v>
      </c>
      <c r="F140" s="10" t="s">
        <v>1376</v>
      </c>
      <c r="G140" s="10" t="s">
        <v>1377</v>
      </c>
      <c r="H140" s="10" t="s">
        <v>556</v>
      </c>
      <c r="I140" s="10" t="s">
        <v>556</v>
      </c>
      <c r="J140" s="10" t="s">
        <v>1378</v>
      </c>
      <c r="K140" s="13" t="s">
        <v>1379</v>
      </c>
      <c r="L140" s="12" t="s">
        <v>557</v>
      </c>
    </row>
    <row r="141" spans="1:12" ht="14.25" customHeight="1">
      <c r="A141" s="10">
        <v>192</v>
      </c>
      <c r="B141" s="10" t="s">
        <v>480</v>
      </c>
      <c r="C141" s="12" t="s">
        <v>141</v>
      </c>
      <c r="D141" s="10" t="s">
        <v>482</v>
      </c>
      <c r="E141" s="10" t="s">
        <v>334</v>
      </c>
      <c r="F141" s="10" t="s">
        <v>1384</v>
      </c>
      <c r="G141" s="10" t="s">
        <v>1104</v>
      </c>
      <c r="H141" s="10" t="s">
        <v>1090</v>
      </c>
      <c r="I141" s="10" t="s">
        <v>1387</v>
      </c>
      <c r="J141" s="10" t="s">
        <v>1388</v>
      </c>
      <c r="K141" s="13" t="s">
        <v>483</v>
      </c>
      <c r="L141" s="12" t="s">
        <v>34</v>
      </c>
    </row>
    <row r="142" spans="1:12" ht="14.25" customHeight="1">
      <c r="A142" s="10">
        <v>120</v>
      </c>
      <c r="B142" s="10" t="s">
        <v>480</v>
      </c>
      <c r="C142" s="12" t="s">
        <v>141</v>
      </c>
      <c r="D142" s="10" t="s">
        <v>487</v>
      </c>
      <c r="E142" s="10" t="s">
        <v>446</v>
      </c>
      <c r="F142" s="10" t="s">
        <v>1392</v>
      </c>
      <c r="G142" s="10" t="s">
        <v>1394</v>
      </c>
      <c r="H142" s="10" t="s">
        <v>1395</v>
      </c>
      <c r="I142" s="10" t="s">
        <v>1396</v>
      </c>
      <c r="J142" s="10" t="s">
        <v>1398</v>
      </c>
      <c r="K142" s="13" t="s">
        <v>490</v>
      </c>
      <c r="L142" s="12" t="s">
        <v>43</v>
      </c>
    </row>
    <row r="143" spans="1:12" ht="14.25" customHeight="1">
      <c r="A143" s="10">
        <v>114</v>
      </c>
      <c r="B143" s="10" t="s">
        <v>480</v>
      </c>
      <c r="C143" s="12" t="s">
        <v>141</v>
      </c>
      <c r="D143" s="10" t="s">
        <v>496</v>
      </c>
      <c r="E143" s="10" t="s">
        <v>446</v>
      </c>
      <c r="F143" s="10" t="s">
        <v>1401</v>
      </c>
      <c r="G143" s="10" t="s">
        <v>1402</v>
      </c>
      <c r="H143" s="10" t="s">
        <v>1404</v>
      </c>
      <c r="I143" s="10" t="s">
        <v>1405</v>
      </c>
      <c r="J143" s="10" t="s">
        <v>1407</v>
      </c>
      <c r="K143" s="13" t="s">
        <v>498</v>
      </c>
      <c r="L143" s="12" t="s">
        <v>52</v>
      </c>
    </row>
    <row r="144" spans="1:12" ht="14.25" customHeight="1">
      <c r="A144" s="10">
        <v>115</v>
      </c>
      <c r="B144" s="10" t="s">
        <v>480</v>
      </c>
      <c r="C144" s="12" t="s">
        <v>141</v>
      </c>
      <c r="D144" s="10" t="s">
        <v>1409</v>
      </c>
      <c r="E144" s="10" t="s">
        <v>446</v>
      </c>
      <c r="F144" s="10" t="s">
        <v>1411</v>
      </c>
      <c r="G144" s="10" t="s">
        <v>1412</v>
      </c>
      <c r="H144" s="10" t="s">
        <v>1413</v>
      </c>
      <c r="I144" s="10" t="s">
        <v>1405</v>
      </c>
      <c r="J144" s="10" t="s">
        <v>1414</v>
      </c>
      <c r="K144" s="13" t="s">
        <v>1415</v>
      </c>
      <c r="L144" s="12" t="s">
        <v>61</v>
      </c>
    </row>
    <row r="145" spans="1:12" ht="14.25" customHeight="1">
      <c r="A145" s="10">
        <v>116</v>
      </c>
      <c r="B145" s="10" t="s">
        <v>480</v>
      </c>
      <c r="C145" s="12" t="s">
        <v>141</v>
      </c>
      <c r="D145" s="10" t="s">
        <v>295</v>
      </c>
      <c r="E145" s="10" t="s">
        <v>334</v>
      </c>
      <c r="F145" s="10" t="s">
        <v>1416</v>
      </c>
      <c r="G145" s="10" t="s">
        <v>1418</v>
      </c>
      <c r="H145" s="10" t="s">
        <v>1420</v>
      </c>
      <c r="I145" s="10" t="s">
        <v>1421</v>
      </c>
      <c r="J145" s="10" t="s">
        <v>1422</v>
      </c>
      <c r="K145" s="13" t="s">
        <v>1423</v>
      </c>
      <c r="L145" s="12" t="s">
        <v>70</v>
      </c>
    </row>
    <row r="146" spans="1:12" ht="14.25" customHeight="1">
      <c r="A146" s="10">
        <v>123</v>
      </c>
      <c r="B146" s="10" t="s">
        <v>480</v>
      </c>
      <c r="C146" s="12" t="s">
        <v>141</v>
      </c>
      <c r="D146" s="10" t="s">
        <v>806</v>
      </c>
      <c r="E146" s="10" t="s">
        <v>349</v>
      </c>
      <c r="F146" s="10" t="s">
        <v>1426</v>
      </c>
      <c r="G146" s="10" t="s">
        <v>1427</v>
      </c>
      <c r="H146" s="10" t="s">
        <v>1430</v>
      </c>
      <c r="I146" s="10" t="s">
        <v>1431</v>
      </c>
      <c r="J146" s="10" t="s">
        <v>1432</v>
      </c>
      <c r="K146" s="13" t="s">
        <v>1433</v>
      </c>
      <c r="L146" s="12" t="s">
        <v>79</v>
      </c>
    </row>
    <row r="147" spans="1:12" ht="14.25" customHeight="1">
      <c r="A147" s="10">
        <v>191</v>
      </c>
      <c r="B147" s="10" t="s">
        <v>480</v>
      </c>
      <c r="C147" s="12" t="s">
        <v>141</v>
      </c>
      <c r="D147" s="10" t="s">
        <v>479</v>
      </c>
      <c r="E147" s="10" t="s">
        <v>334</v>
      </c>
      <c r="F147" s="10" t="s">
        <v>1436</v>
      </c>
      <c r="G147" s="10" t="s">
        <v>1437</v>
      </c>
      <c r="H147" s="10" t="s">
        <v>1438</v>
      </c>
      <c r="I147" s="10" t="s">
        <v>1439</v>
      </c>
      <c r="J147" s="10" t="s">
        <v>1440</v>
      </c>
      <c r="K147" s="13" t="s">
        <v>1441</v>
      </c>
      <c r="L147" s="12" t="s">
        <v>90</v>
      </c>
    </row>
    <row r="148" spans="1:12" ht="14.25" customHeight="1">
      <c r="A148" s="10">
        <v>193</v>
      </c>
      <c r="B148" s="10" t="s">
        <v>480</v>
      </c>
      <c r="C148" s="12" t="s">
        <v>141</v>
      </c>
      <c r="D148" s="10" t="s">
        <v>1417</v>
      </c>
      <c r="E148" s="10" t="s">
        <v>446</v>
      </c>
      <c r="F148" s="10" t="s">
        <v>1446</v>
      </c>
      <c r="G148" s="10" t="s">
        <v>1447</v>
      </c>
      <c r="H148" s="10" t="s">
        <v>1449</v>
      </c>
      <c r="I148" s="10" t="s">
        <v>1450</v>
      </c>
      <c r="J148" s="10" t="s">
        <v>1451</v>
      </c>
      <c r="K148" s="13" t="s">
        <v>1452</v>
      </c>
      <c r="L148" s="12" t="s">
        <v>538</v>
      </c>
    </row>
    <row r="149" spans="1:12" ht="14.25" customHeight="1">
      <c r="A149" s="10">
        <v>122</v>
      </c>
      <c r="B149" s="10" t="s">
        <v>480</v>
      </c>
      <c r="C149" s="12" t="s">
        <v>141</v>
      </c>
      <c r="D149" s="10" t="s">
        <v>1381</v>
      </c>
      <c r="E149" s="10" t="s">
        <v>446</v>
      </c>
      <c r="F149" s="10" t="s">
        <v>1454</v>
      </c>
      <c r="G149" s="10" t="s">
        <v>556</v>
      </c>
      <c r="H149" s="10" t="s">
        <v>556</v>
      </c>
      <c r="I149" s="10" t="s">
        <v>556</v>
      </c>
      <c r="J149" s="10" t="s">
        <v>556</v>
      </c>
      <c r="K149" s="13" t="s">
        <v>556</v>
      </c>
      <c r="L149" s="12" t="s">
        <v>557</v>
      </c>
    </row>
    <row r="150" spans="1:12" ht="14.25" customHeight="1">
      <c r="A150" s="10">
        <v>101</v>
      </c>
      <c r="B150" s="10" t="s">
        <v>519</v>
      </c>
      <c r="C150" s="12" t="s">
        <v>141</v>
      </c>
      <c r="D150" s="10" t="s">
        <v>523</v>
      </c>
      <c r="E150" s="10" t="s">
        <v>390</v>
      </c>
      <c r="F150" s="10" t="s">
        <v>1458</v>
      </c>
      <c r="G150" s="10" t="s">
        <v>1459</v>
      </c>
      <c r="H150" s="10" t="s">
        <v>1460</v>
      </c>
      <c r="I150" s="10" t="s">
        <v>1461</v>
      </c>
      <c r="J150" s="10" t="s">
        <v>1462</v>
      </c>
      <c r="K150" s="13" t="s">
        <v>526</v>
      </c>
      <c r="L150" s="12" t="s">
        <v>34</v>
      </c>
    </row>
    <row r="151" spans="1:12" ht="14.25" customHeight="1">
      <c r="A151" s="10">
        <v>103</v>
      </c>
      <c r="B151" s="10" t="s">
        <v>519</v>
      </c>
      <c r="C151" s="12" t="s">
        <v>141</v>
      </c>
      <c r="D151" s="10" t="s">
        <v>204</v>
      </c>
      <c r="E151" s="10" t="s">
        <v>183</v>
      </c>
      <c r="F151" s="10" t="s">
        <v>1466</v>
      </c>
      <c r="G151" s="10" t="s">
        <v>1467</v>
      </c>
      <c r="H151" s="10" t="s">
        <v>1469</v>
      </c>
      <c r="I151" s="10" t="s">
        <v>1470</v>
      </c>
      <c r="J151" s="10" t="s">
        <v>1472</v>
      </c>
      <c r="K151" s="13" t="s">
        <v>535</v>
      </c>
      <c r="L151" s="12" t="s">
        <v>43</v>
      </c>
    </row>
    <row r="152" spans="1:12" ht="14.25" customHeight="1">
      <c r="A152" s="10">
        <v>106</v>
      </c>
      <c r="B152" s="10" t="s">
        <v>519</v>
      </c>
      <c r="C152" s="12" t="s">
        <v>141</v>
      </c>
      <c r="D152" s="10" t="s">
        <v>177</v>
      </c>
      <c r="E152" s="10" t="s">
        <v>183</v>
      </c>
      <c r="F152" s="10" t="s">
        <v>1475</v>
      </c>
      <c r="G152" s="10" t="s">
        <v>1476</v>
      </c>
      <c r="H152" s="10" t="s">
        <v>1477</v>
      </c>
      <c r="I152" s="10" t="s">
        <v>1478</v>
      </c>
      <c r="J152" s="10" t="s">
        <v>1479</v>
      </c>
      <c r="K152" s="13" t="s">
        <v>543</v>
      </c>
      <c r="L152" s="12" t="s">
        <v>52</v>
      </c>
    </row>
    <row r="153" spans="1:12" ht="14.25" customHeight="1">
      <c r="A153" s="10">
        <v>100</v>
      </c>
      <c r="B153" s="10" t="s">
        <v>519</v>
      </c>
      <c r="C153" s="12" t="s">
        <v>141</v>
      </c>
      <c r="D153" s="10" t="s">
        <v>1482</v>
      </c>
      <c r="E153" s="10" t="s">
        <v>446</v>
      </c>
      <c r="F153" s="10" t="s">
        <v>1484</v>
      </c>
      <c r="G153" s="10" t="s">
        <v>1485</v>
      </c>
      <c r="H153" s="10" t="s">
        <v>1486</v>
      </c>
      <c r="I153" s="10" t="s">
        <v>1487</v>
      </c>
      <c r="J153" s="10" t="s">
        <v>1488</v>
      </c>
      <c r="K153" s="13" t="s">
        <v>1489</v>
      </c>
      <c r="L153" s="12" t="s">
        <v>61</v>
      </c>
    </row>
    <row r="154" spans="1:12" ht="14.25" customHeight="1">
      <c r="A154" s="10">
        <v>102</v>
      </c>
      <c r="B154" s="10" t="s">
        <v>519</v>
      </c>
      <c r="C154" s="12" t="s">
        <v>141</v>
      </c>
      <c r="D154" s="10" t="s">
        <v>1490</v>
      </c>
      <c r="E154" s="10" t="s">
        <v>1148</v>
      </c>
      <c r="F154" s="10" t="s">
        <v>1492</v>
      </c>
      <c r="G154" s="10" t="s">
        <v>1493</v>
      </c>
      <c r="H154" s="10" t="s">
        <v>1494</v>
      </c>
      <c r="I154" s="10" t="s">
        <v>1495</v>
      </c>
      <c r="J154" s="10" t="s">
        <v>1497</v>
      </c>
      <c r="K154" s="13" t="s">
        <v>1498</v>
      </c>
      <c r="L154" s="12" t="s">
        <v>70</v>
      </c>
    </row>
    <row r="155" spans="1:12" ht="14.25" customHeight="1">
      <c r="A155" s="10">
        <v>104</v>
      </c>
      <c r="B155" s="10" t="s">
        <v>519</v>
      </c>
      <c r="C155" s="12" t="s">
        <v>141</v>
      </c>
      <c r="D155" s="10" t="s">
        <v>527</v>
      </c>
      <c r="E155" s="10" t="s">
        <v>334</v>
      </c>
      <c r="F155" s="10" t="s">
        <v>1499</v>
      </c>
      <c r="G155" s="10" t="s">
        <v>1500</v>
      </c>
      <c r="H155" s="10" t="s">
        <v>556</v>
      </c>
      <c r="I155" s="10" t="s">
        <v>556</v>
      </c>
      <c r="J155" s="10" t="s">
        <v>556</v>
      </c>
      <c r="K155" s="13" t="s">
        <v>1502</v>
      </c>
      <c r="L155" s="12" t="s">
        <v>538</v>
      </c>
    </row>
    <row r="156" spans="1:12" ht="14.25" customHeight="1">
      <c r="A156" s="10">
        <v>313</v>
      </c>
      <c r="B156" s="10" t="s">
        <v>669</v>
      </c>
      <c r="C156" s="12" t="s">
        <v>23</v>
      </c>
      <c r="D156" s="10" t="s">
        <v>670</v>
      </c>
      <c r="E156" s="10" t="s">
        <v>36</v>
      </c>
      <c r="F156" s="10" t="s">
        <v>1506</v>
      </c>
      <c r="G156" s="10" t="s">
        <v>1507</v>
      </c>
      <c r="H156" s="10" t="s">
        <v>1508</v>
      </c>
      <c r="I156" s="10" t="s">
        <v>1509</v>
      </c>
      <c r="J156" s="10" t="s">
        <v>1510</v>
      </c>
      <c r="K156" s="13" t="s">
        <v>672</v>
      </c>
      <c r="L156" s="12" t="s">
        <v>34</v>
      </c>
    </row>
    <row r="157" spans="1:12" ht="14.25" customHeight="1">
      <c r="A157" s="10">
        <v>307</v>
      </c>
      <c r="B157" s="10" t="s">
        <v>669</v>
      </c>
      <c r="C157" s="12" t="s">
        <v>23</v>
      </c>
      <c r="D157" s="10" t="s">
        <v>681</v>
      </c>
      <c r="E157" s="10" t="s">
        <v>36</v>
      </c>
      <c r="F157" s="10" t="s">
        <v>1514</v>
      </c>
      <c r="G157" s="10" t="s">
        <v>1515</v>
      </c>
      <c r="H157" s="10" t="s">
        <v>1516</v>
      </c>
      <c r="I157" s="10" t="s">
        <v>1517</v>
      </c>
      <c r="J157" s="10" t="s">
        <v>1518</v>
      </c>
      <c r="K157" s="13" t="s">
        <v>684</v>
      </c>
      <c r="L157" s="12" t="s">
        <v>43</v>
      </c>
    </row>
    <row r="158" spans="1:12" ht="14.25" customHeight="1">
      <c r="A158" s="10">
        <v>304</v>
      </c>
      <c r="B158" s="10" t="s">
        <v>669</v>
      </c>
      <c r="C158" s="12" t="s">
        <v>23</v>
      </c>
      <c r="D158" s="10" t="s">
        <v>690</v>
      </c>
      <c r="E158" s="10" t="s">
        <v>257</v>
      </c>
      <c r="F158" s="10" t="s">
        <v>1521</v>
      </c>
      <c r="G158" s="10" t="s">
        <v>1523</v>
      </c>
      <c r="H158" s="10" t="s">
        <v>1524</v>
      </c>
      <c r="I158" s="10" t="s">
        <v>1525</v>
      </c>
      <c r="J158" s="10" t="s">
        <v>1526</v>
      </c>
      <c r="K158" s="13" t="s">
        <v>692</v>
      </c>
      <c r="L158" s="12" t="s">
        <v>52</v>
      </c>
    </row>
    <row r="159" spans="1:12" ht="14.25" customHeight="1">
      <c r="A159" s="10">
        <v>314</v>
      </c>
      <c r="B159" s="10" t="s">
        <v>669</v>
      </c>
      <c r="C159" s="12" t="s">
        <v>23</v>
      </c>
      <c r="D159" s="10" t="s">
        <v>1527</v>
      </c>
      <c r="E159" s="10" t="s">
        <v>624</v>
      </c>
      <c r="F159" s="10" t="s">
        <v>1529</v>
      </c>
      <c r="G159" s="10" t="s">
        <v>1531</v>
      </c>
      <c r="H159" s="10" t="s">
        <v>1532</v>
      </c>
      <c r="I159" s="10" t="s">
        <v>1533</v>
      </c>
      <c r="J159" s="10" t="s">
        <v>1535</v>
      </c>
      <c r="K159" s="13" t="s">
        <v>1536</v>
      </c>
      <c r="L159" s="12" t="s">
        <v>61</v>
      </c>
    </row>
    <row r="160" spans="1:12" ht="14.25" customHeight="1">
      <c r="A160" s="10">
        <v>308</v>
      </c>
      <c r="B160" s="10" t="s">
        <v>669</v>
      </c>
      <c r="C160" s="12" t="s">
        <v>23</v>
      </c>
      <c r="D160" s="10" t="s">
        <v>1537</v>
      </c>
      <c r="E160" s="10" t="s">
        <v>36</v>
      </c>
      <c r="F160" s="10" t="s">
        <v>1538</v>
      </c>
      <c r="G160" s="10" t="s">
        <v>1539</v>
      </c>
      <c r="H160" s="10" t="s">
        <v>1540</v>
      </c>
      <c r="I160" s="10" t="s">
        <v>1541</v>
      </c>
      <c r="J160" s="10" t="s">
        <v>1542</v>
      </c>
      <c r="K160" s="13" t="s">
        <v>1544</v>
      </c>
      <c r="L160" s="12" t="s">
        <v>70</v>
      </c>
    </row>
    <row r="161" spans="1:12" ht="14.25" customHeight="1">
      <c r="A161" s="10">
        <v>302</v>
      </c>
      <c r="B161" s="10" t="s">
        <v>669</v>
      </c>
      <c r="C161" s="12" t="s">
        <v>23</v>
      </c>
      <c r="D161" s="10" t="s">
        <v>1546</v>
      </c>
      <c r="E161" s="10" t="s">
        <v>26</v>
      </c>
      <c r="F161" s="10" t="s">
        <v>1549</v>
      </c>
      <c r="G161" s="10" t="s">
        <v>1550</v>
      </c>
      <c r="H161" s="10" t="s">
        <v>1551</v>
      </c>
      <c r="I161" s="10" t="s">
        <v>1552</v>
      </c>
      <c r="J161" s="10" t="s">
        <v>1553</v>
      </c>
      <c r="K161" s="13" t="s">
        <v>1554</v>
      </c>
      <c r="L161" s="12" t="s">
        <v>79</v>
      </c>
    </row>
    <row r="162" spans="1:12" ht="14.25" customHeight="1">
      <c r="A162" s="10">
        <v>310</v>
      </c>
      <c r="B162" s="10" t="s">
        <v>669</v>
      </c>
      <c r="C162" s="12" t="s">
        <v>23</v>
      </c>
      <c r="D162" s="10" t="s">
        <v>1557</v>
      </c>
      <c r="E162" s="10" t="s">
        <v>72</v>
      </c>
      <c r="F162" s="10" t="s">
        <v>1558</v>
      </c>
      <c r="G162" s="10" t="s">
        <v>1559</v>
      </c>
      <c r="H162" s="10" t="s">
        <v>1560</v>
      </c>
      <c r="I162" s="10" t="s">
        <v>1561</v>
      </c>
      <c r="J162" s="10" t="s">
        <v>1562</v>
      </c>
      <c r="K162" s="13" t="s">
        <v>1563</v>
      </c>
      <c r="L162" s="12" t="s">
        <v>90</v>
      </c>
    </row>
    <row r="163" spans="1:12" ht="14.25" customHeight="1">
      <c r="A163" s="10">
        <v>303</v>
      </c>
      <c r="B163" s="10" t="s">
        <v>669</v>
      </c>
      <c r="C163" s="12" t="s">
        <v>23</v>
      </c>
      <c r="D163" s="10" t="s">
        <v>1565</v>
      </c>
      <c r="E163" s="10" t="s">
        <v>624</v>
      </c>
      <c r="F163" s="10" t="s">
        <v>1566</v>
      </c>
      <c r="G163" s="10" t="s">
        <v>1567</v>
      </c>
      <c r="H163" s="10" t="s">
        <v>1568</v>
      </c>
      <c r="I163" s="10" t="s">
        <v>1569</v>
      </c>
      <c r="J163" s="10" t="s">
        <v>1571</v>
      </c>
      <c r="K163" s="13" t="s">
        <v>1572</v>
      </c>
      <c r="L163" s="12" t="s">
        <v>100</v>
      </c>
    </row>
    <row r="164" spans="1:12" ht="14.25" customHeight="1">
      <c r="A164" s="10">
        <v>315</v>
      </c>
      <c r="B164" s="10" t="s">
        <v>669</v>
      </c>
      <c r="C164" s="12" t="s">
        <v>23</v>
      </c>
      <c r="D164" s="10" t="s">
        <v>1575</v>
      </c>
      <c r="E164" s="10" t="s">
        <v>36</v>
      </c>
      <c r="F164" s="10" t="s">
        <v>1577</v>
      </c>
      <c r="G164" s="10" t="s">
        <v>1578</v>
      </c>
      <c r="H164" s="10" t="s">
        <v>1579</v>
      </c>
      <c r="I164" s="10" t="s">
        <v>1580</v>
      </c>
      <c r="J164" s="10" t="s">
        <v>1581</v>
      </c>
      <c r="K164" s="13" t="s">
        <v>1582</v>
      </c>
      <c r="L164" s="12" t="s">
        <v>109</v>
      </c>
    </row>
    <row r="165" spans="1:12" ht="14.25" customHeight="1">
      <c r="A165" s="10">
        <v>301</v>
      </c>
      <c r="B165" s="10" t="s">
        <v>669</v>
      </c>
      <c r="C165" s="12" t="s">
        <v>23</v>
      </c>
      <c r="D165" s="10" t="s">
        <v>1584</v>
      </c>
      <c r="E165" s="10" t="s">
        <v>194</v>
      </c>
      <c r="F165" s="10" t="s">
        <v>1586</v>
      </c>
      <c r="G165" s="10" t="s">
        <v>1587</v>
      </c>
      <c r="H165" s="10" t="s">
        <v>1588</v>
      </c>
      <c r="I165" s="10" t="s">
        <v>1589</v>
      </c>
      <c r="J165" s="10" t="s">
        <v>1590</v>
      </c>
      <c r="K165" s="13" t="s">
        <v>1591</v>
      </c>
      <c r="L165" s="12" t="s">
        <v>120</v>
      </c>
    </row>
    <row r="166" spans="1:12" ht="14.25" customHeight="1">
      <c r="A166" s="10">
        <v>311</v>
      </c>
      <c r="B166" s="10" t="s">
        <v>669</v>
      </c>
      <c r="C166" s="12" t="s">
        <v>23</v>
      </c>
      <c r="D166" s="10" t="s">
        <v>1596</v>
      </c>
      <c r="E166" s="10" t="s">
        <v>216</v>
      </c>
      <c r="F166" s="10" t="s">
        <v>1598</v>
      </c>
      <c r="G166" s="10" t="s">
        <v>1601</v>
      </c>
      <c r="H166" s="10" t="s">
        <v>1602</v>
      </c>
      <c r="I166" s="10" t="s">
        <v>1603</v>
      </c>
      <c r="J166" s="10" t="s">
        <v>1604</v>
      </c>
      <c r="K166" s="13" t="s">
        <v>1605</v>
      </c>
      <c r="L166" s="12" t="s">
        <v>128</v>
      </c>
    </row>
    <row r="167" spans="1:12" ht="14.25" customHeight="1">
      <c r="A167" s="10">
        <v>316</v>
      </c>
      <c r="B167" s="10" t="s">
        <v>669</v>
      </c>
      <c r="C167" s="12" t="s">
        <v>23</v>
      </c>
      <c r="D167" s="10" t="s">
        <v>1606</v>
      </c>
      <c r="E167" s="10" t="s">
        <v>36</v>
      </c>
      <c r="F167" s="10" t="s">
        <v>1607</v>
      </c>
      <c r="G167" s="10" t="s">
        <v>1608</v>
      </c>
      <c r="H167" s="10" t="s">
        <v>1610</v>
      </c>
      <c r="I167" s="10" t="s">
        <v>1612</v>
      </c>
      <c r="J167" s="10" t="s">
        <v>1613</v>
      </c>
      <c r="K167" s="13" t="s">
        <v>1615</v>
      </c>
      <c r="L167" s="12" t="s">
        <v>140</v>
      </c>
    </row>
    <row r="168" spans="1:12" ht="14.25" customHeight="1">
      <c r="A168" s="10">
        <v>305</v>
      </c>
      <c r="B168" s="10" t="s">
        <v>669</v>
      </c>
      <c r="C168" s="12" t="s">
        <v>23</v>
      </c>
      <c r="D168" s="10" t="s">
        <v>1621</v>
      </c>
      <c r="E168" s="10" t="s">
        <v>1622</v>
      </c>
      <c r="F168" s="10" t="s">
        <v>1623</v>
      </c>
      <c r="G168" s="10" t="s">
        <v>1624</v>
      </c>
      <c r="H168" s="10" t="s">
        <v>1625</v>
      </c>
      <c r="I168" s="10" t="s">
        <v>1626</v>
      </c>
      <c r="J168" s="10" t="s">
        <v>1627</v>
      </c>
      <c r="K168" s="13" t="s">
        <v>1628</v>
      </c>
      <c r="L168" s="12" t="s">
        <v>284</v>
      </c>
    </row>
    <row r="169" spans="1:12" ht="14.25" customHeight="1">
      <c r="A169" s="10">
        <v>312</v>
      </c>
      <c r="B169" s="10" t="s">
        <v>669</v>
      </c>
      <c r="C169" s="12" t="s">
        <v>23</v>
      </c>
      <c r="D169" s="10" t="s">
        <v>1630</v>
      </c>
      <c r="E169" s="10" t="s">
        <v>36</v>
      </c>
      <c r="F169" s="10" t="s">
        <v>207</v>
      </c>
      <c r="G169" s="10" t="s">
        <v>1631</v>
      </c>
      <c r="H169" s="10" t="s">
        <v>1632</v>
      </c>
      <c r="I169" s="10" t="s">
        <v>1633</v>
      </c>
      <c r="J169" s="10" t="s">
        <v>1634</v>
      </c>
      <c r="K169" s="13" t="s">
        <v>1635</v>
      </c>
      <c r="L169" s="12" t="s">
        <v>538</v>
      </c>
    </row>
    <row r="170" spans="1:12" ht="14.25" customHeight="1">
      <c r="A170" s="10">
        <v>337</v>
      </c>
      <c r="B170" s="10" t="s">
        <v>669</v>
      </c>
      <c r="C170" s="12" t="s">
        <v>141</v>
      </c>
      <c r="D170" s="10" t="s">
        <v>715</v>
      </c>
      <c r="E170" s="10" t="s">
        <v>45</v>
      </c>
      <c r="F170" s="10" t="s">
        <v>1636</v>
      </c>
      <c r="G170" s="10" t="s">
        <v>1637</v>
      </c>
      <c r="H170" s="10" t="s">
        <v>1638</v>
      </c>
      <c r="I170" s="10" t="s">
        <v>1639</v>
      </c>
      <c r="J170" s="10" t="s">
        <v>1640</v>
      </c>
      <c r="K170" s="13" t="s">
        <v>717</v>
      </c>
      <c r="L170" s="12" t="s">
        <v>34</v>
      </c>
    </row>
    <row r="171" spans="1:12" ht="14.25" customHeight="1">
      <c r="A171" s="10">
        <v>352</v>
      </c>
      <c r="B171" s="10" t="s">
        <v>669</v>
      </c>
      <c r="C171" s="12" t="s">
        <v>141</v>
      </c>
      <c r="D171" s="10" t="s">
        <v>725</v>
      </c>
      <c r="E171" s="10" t="s">
        <v>36</v>
      </c>
      <c r="F171" s="10" t="s">
        <v>1641</v>
      </c>
      <c r="G171" s="10" t="s">
        <v>1642</v>
      </c>
      <c r="H171" s="10" t="s">
        <v>1643</v>
      </c>
      <c r="I171" s="10" t="s">
        <v>1644</v>
      </c>
      <c r="J171" s="10" t="s">
        <v>1645</v>
      </c>
      <c r="K171" s="13" t="s">
        <v>726</v>
      </c>
      <c r="L171" s="12" t="s">
        <v>43</v>
      </c>
    </row>
    <row r="172" spans="1:12" ht="14.25" customHeight="1">
      <c r="A172" s="10">
        <v>336</v>
      </c>
      <c r="B172" s="10" t="s">
        <v>669</v>
      </c>
      <c r="C172" s="12" t="s">
        <v>141</v>
      </c>
      <c r="D172" s="10" t="s">
        <v>736</v>
      </c>
      <c r="E172" s="10" t="s">
        <v>36</v>
      </c>
      <c r="F172" s="10" t="s">
        <v>1648</v>
      </c>
      <c r="G172" s="10" t="s">
        <v>1649</v>
      </c>
      <c r="H172" s="10" t="s">
        <v>1650</v>
      </c>
      <c r="I172" s="10" t="s">
        <v>1651</v>
      </c>
      <c r="J172" s="10" t="s">
        <v>1652</v>
      </c>
      <c r="K172" s="13" t="s">
        <v>737</v>
      </c>
      <c r="L172" s="12" t="s">
        <v>52</v>
      </c>
    </row>
    <row r="173" spans="1:12" ht="14.25" customHeight="1">
      <c r="A173" s="10">
        <v>357</v>
      </c>
      <c r="B173" s="10" t="s">
        <v>669</v>
      </c>
      <c r="C173" s="12" t="s">
        <v>141</v>
      </c>
      <c r="D173" s="10" t="s">
        <v>1654</v>
      </c>
      <c r="E173" s="10" t="s">
        <v>93</v>
      </c>
      <c r="F173" s="10" t="s">
        <v>1655</v>
      </c>
      <c r="G173" s="10" t="s">
        <v>1657</v>
      </c>
      <c r="H173" s="10" t="s">
        <v>1658</v>
      </c>
      <c r="I173" s="10" t="s">
        <v>1659</v>
      </c>
      <c r="J173" s="10" t="s">
        <v>1660</v>
      </c>
      <c r="K173" s="13" t="s">
        <v>1661</v>
      </c>
      <c r="L173" s="12" t="s">
        <v>61</v>
      </c>
    </row>
    <row r="174" spans="1:12" ht="14.25" customHeight="1">
      <c r="A174" s="10">
        <v>347</v>
      </c>
      <c r="B174" s="10" t="s">
        <v>669</v>
      </c>
      <c r="C174" s="12" t="s">
        <v>141</v>
      </c>
      <c r="D174" s="10" t="s">
        <v>1662</v>
      </c>
      <c r="E174" s="10" t="s">
        <v>72</v>
      </c>
      <c r="F174" s="10" t="s">
        <v>1665</v>
      </c>
      <c r="G174" s="10" t="s">
        <v>1666</v>
      </c>
      <c r="H174" s="10" t="s">
        <v>1668</v>
      </c>
      <c r="I174" s="10" t="s">
        <v>1669</v>
      </c>
      <c r="J174" s="10" t="s">
        <v>1670</v>
      </c>
      <c r="K174" s="13" t="s">
        <v>1671</v>
      </c>
      <c r="L174" s="12" t="s">
        <v>70</v>
      </c>
    </row>
    <row r="175" spans="1:12" ht="14.25" customHeight="1">
      <c r="A175" s="10">
        <v>354</v>
      </c>
      <c r="B175" s="10" t="s">
        <v>669</v>
      </c>
      <c r="C175" s="12" t="s">
        <v>141</v>
      </c>
      <c r="D175" s="10" t="s">
        <v>1673</v>
      </c>
      <c r="E175" s="10" t="s">
        <v>36</v>
      </c>
      <c r="F175" s="10" t="s">
        <v>1674</v>
      </c>
      <c r="G175" s="10" t="s">
        <v>1675</v>
      </c>
      <c r="H175" s="10" t="s">
        <v>1676</v>
      </c>
      <c r="I175" s="10" t="s">
        <v>1677</v>
      </c>
      <c r="J175" s="10" t="s">
        <v>1678</v>
      </c>
      <c r="K175" s="13" t="s">
        <v>1679</v>
      </c>
      <c r="L175" s="12" t="s">
        <v>79</v>
      </c>
    </row>
    <row r="176" spans="1:12" ht="14.25" customHeight="1">
      <c r="A176" s="10">
        <v>320</v>
      </c>
      <c r="B176" s="10" t="s">
        <v>669</v>
      </c>
      <c r="C176" s="12" t="s">
        <v>141</v>
      </c>
      <c r="D176" s="10" t="s">
        <v>1683</v>
      </c>
      <c r="E176" s="10" t="s">
        <v>54</v>
      </c>
      <c r="F176" s="10" t="s">
        <v>1686</v>
      </c>
      <c r="G176" s="10" t="s">
        <v>1688</v>
      </c>
      <c r="H176" s="10" t="s">
        <v>1691</v>
      </c>
      <c r="I176" s="10" t="s">
        <v>1692</v>
      </c>
      <c r="J176" s="10" t="s">
        <v>1693</v>
      </c>
      <c r="K176" s="13" t="s">
        <v>1694</v>
      </c>
      <c r="L176" s="12" t="s">
        <v>90</v>
      </c>
    </row>
    <row r="177" spans="1:12" ht="14.25" customHeight="1">
      <c r="A177" s="10">
        <v>343</v>
      </c>
      <c r="B177" s="10" t="s">
        <v>669</v>
      </c>
      <c r="C177" s="12" t="s">
        <v>141</v>
      </c>
      <c r="D177" s="10" t="s">
        <v>1695</v>
      </c>
      <c r="E177" s="10" t="s">
        <v>54</v>
      </c>
      <c r="F177" s="10" t="s">
        <v>1696</v>
      </c>
      <c r="G177" s="10" t="s">
        <v>1698</v>
      </c>
      <c r="H177" s="10" t="s">
        <v>1699</v>
      </c>
      <c r="I177" s="10" t="s">
        <v>1700</v>
      </c>
      <c r="J177" s="10" t="s">
        <v>1701</v>
      </c>
      <c r="K177" s="13" t="s">
        <v>1702</v>
      </c>
      <c r="L177" s="12" t="s">
        <v>100</v>
      </c>
    </row>
    <row r="178" spans="1:12" ht="14.25" customHeight="1">
      <c r="A178" s="10">
        <v>356</v>
      </c>
      <c r="B178" s="10" t="s">
        <v>669</v>
      </c>
      <c r="C178" s="12" t="s">
        <v>141</v>
      </c>
      <c r="D178" s="10" t="s">
        <v>1703</v>
      </c>
      <c r="E178" s="10" t="s">
        <v>26</v>
      </c>
      <c r="F178" s="10" t="s">
        <v>1704</v>
      </c>
      <c r="G178" s="10" t="s">
        <v>1705</v>
      </c>
      <c r="H178" s="10" t="s">
        <v>1706</v>
      </c>
      <c r="I178" s="10" t="s">
        <v>1707</v>
      </c>
      <c r="J178" s="10" t="s">
        <v>1708</v>
      </c>
      <c r="K178" s="13" t="s">
        <v>1710</v>
      </c>
      <c r="L178" s="12" t="s">
        <v>109</v>
      </c>
    </row>
    <row r="179" spans="1:12" ht="14.25" customHeight="1">
      <c r="A179" s="10">
        <v>353</v>
      </c>
      <c r="B179" s="10" t="s">
        <v>669</v>
      </c>
      <c r="C179" s="12" t="s">
        <v>141</v>
      </c>
      <c r="D179" s="10" t="s">
        <v>1713</v>
      </c>
      <c r="E179" s="10" t="s">
        <v>334</v>
      </c>
      <c r="F179" s="10" t="s">
        <v>1714</v>
      </c>
      <c r="G179" s="10" t="s">
        <v>1715</v>
      </c>
      <c r="H179" s="10" t="s">
        <v>1717</v>
      </c>
      <c r="I179" s="10" t="s">
        <v>1718</v>
      </c>
      <c r="J179" s="10" t="s">
        <v>1719</v>
      </c>
      <c r="K179" s="13" t="s">
        <v>1720</v>
      </c>
      <c r="L179" s="12" t="s">
        <v>120</v>
      </c>
    </row>
    <row r="180" spans="1:12" ht="14.25" customHeight="1">
      <c r="A180" s="10">
        <v>317</v>
      </c>
      <c r="B180" s="10" t="s">
        <v>669</v>
      </c>
      <c r="C180" s="12" t="s">
        <v>141</v>
      </c>
      <c r="D180" s="10" t="s">
        <v>1721</v>
      </c>
      <c r="E180" s="10" t="s">
        <v>36</v>
      </c>
      <c r="F180" s="10" t="s">
        <v>1722</v>
      </c>
      <c r="G180" s="10" t="s">
        <v>1723</v>
      </c>
      <c r="H180" s="10" t="s">
        <v>1724</v>
      </c>
      <c r="I180" s="10" t="s">
        <v>1726</v>
      </c>
      <c r="J180" s="10" t="s">
        <v>1727</v>
      </c>
      <c r="K180" s="13" t="s">
        <v>1728</v>
      </c>
      <c r="L180" s="12" t="s">
        <v>128</v>
      </c>
    </row>
    <row r="181" spans="1:12" ht="14.25" customHeight="1">
      <c r="A181" s="10">
        <v>327</v>
      </c>
      <c r="B181" s="10" t="s">
        <v>669</v>
      </c>
      <c r="C181" s="12" t="s">
        <v>141</v>
      </c>
      <c r="D181" s="10" t="s">
        <v>1732</v>
      </c>
      <c r="E181" s="10" t="s">
        <v>26</v>
      </c>
      <c r="F181" s="10" t="s">
        <v>1733</v>
      </c>
      <c r="G181" s="10" t="s">
        <v>1734</v>
      </c>
      <c r="H181" s="10" t="s">
        <v>1735</v>
      </c>
      <c r="I181" s="10" t="s">
        <v>1736</v>
      </c>
      <c r="J181" s="10" t="s">
        <v>1737</v>
      </c>
      <c r="K181" s="13" t="s">
        <v>1738</v>
      </c>
      <c r="L181" s="12" t="s">
        <v>140</v>
      </c>
    </row>
    <row r="182" spans="1:12" ht="14.25" customHeight="1">
      <c r="A182" s="10">
        <v>322</v>
      </c>
      <c r="B182" s="10" t="s">
        <v>669</v>
      </c>
      <c r="C182" s="12" t="s">
        <v>141</v>
      </c>
      <c r="D182" s="10" t="s">
        <v>1739</v>
      </c>
      <c r="E182" s="10" t="s">
        <v>301</v>
      </c>
      <c r="F182" s="10" t="s">
        <v>1741</v>
      </c>
      <c r="G182" s="10" t="s">
        <v>1569</v>
      </c>
      <c r="H182" s="10" t="s">
        <v>1743</v>
      </c>
      <c r="I182" s="10" t="s">
        <v>1744</v>
      </c>
      <c r="J182" s="10" t="s">
        <v>1745</v>
      </c>
      <c r="K182" s="13" t="s">
        <v>1746</v>
      </c>
      <c r="L182" s="12" t="s">
        <v>284</v>
      </c>
    </row>
    <row r="183" spans="1:12" ht="14.25" customHeight="1">
      <c r="A183" s="10">
        <v>318</v>
      </c>
      <c r="B183" s="10" t="s">
        <v>669</v>
      </c>
      <c r="C183" s="12" t="s">
        <v>141</v>
      </c>
      <c r="D183" s="10" t="s">
        <v>1748</v>
      </c>
      <c r="E183" s="10" t="s">
        <v>93</v>
      </c>
      <c r="F183" s="10" t="s">
        <v>1749</v>
      </c>
      <c r="G183" s="10" t="s">
        <v>1751</v>
      </c>
      <c r="H183" s="10" t="s">
        <v>1753</v>
      </c>
      <c r="I183" s="10" t="s">
        <v>1756</v>
      </c>
      <c r="J183" s="10" t="s">
        <v>1757</v>
      </c>
      <c r="K183" s="13" t="s">
        <v>1758</v>
      </c>
      <c r="L183" s="12" t="s">
        <v>296</v>
      </c>
    </row>
    <row r="184" spans="1:12" ht="14.25" customHeight="1">
      <c r="A184" s="10">
        <v>351</v>
      </c>
      <c r="B184" s="10" t="s">
        <v>669</v>
      </c>
      <c r="C184" s="12" t="s">
        <v>141</v>
      </c>
      <c r="D184" s="10" t="s">
        <v>1759</v>
      </c>
      <c r="E184" s="10" t="s">
        <v>1760</v>
      </c>
      <c r="F184" s="10" t="s">
        <v>1761</v>
      </c>
      <c r="G184" s="10" t="s">
        <v>1762</v>
      </c>
      <c r="H184" s="10" t="s">
        <v>1763</v>
      </c>
      <c r="I184" s="10" t="s">
        <v>1764</v>
      </c>
      <c r="J184" s="10" t="s">
        <v>1765</v>
      </c>
      <c r="K184" s="13" t="s">
        <v>1766</v>
      </c>
      <c r="L184" s="12" t="s">
        <v>309</v>
      </c>
    </row>
    <row r="185" spans="1:12" ht="14.25" customHeight="1">
      <c r="A185" s="10">
        <v>350</v>
      </c>
      <c r="B185" s="10" t="s">
        <v>669</v>
      </c>
      <c r="C185" s="12" t="s">
        <v>141</v>
      </c>
      <c r="D185" s="10" t="s">
        <v>1768</v>
      </c>
      <c r="E185" s="10" t="s">
        <v>45</v>
      </c>
      <c r="F185" s="10" t="s">
        <v>1769</v>
      </c>
      <c r="G185" s="10" t="s">
        <v>1770</v>
      </c>
      <c r="H185" s="10" t="s">
        <v>1771</v>
      </c>
      <c r="I185" s="10" t="s">
        <v>1772</v>
      </c>
      <c r="J185" s="10" t="s">
        <v>1773</v>
      </c>
      <c r="K185" s="13" t="s">
        <v>1774</v>
      </c>
      <c r="L185" s="12" t="s">
        <v>321</v>
      </c>
    </row>
    <row r="186" spans="1:12" ht="14.25" customHeight="1">
      <c r="A186" s="10">
        <v>329</v>
      </c>
      <c r="B186" s="10" t="s">
        <v>669</v>
      </c>
      <c r="C186" s="12" t="s">
        <v>141</v>
      </c>
      <c r="D186" s="10" t="s">
        <v>1777</v>
      </c>
      <c r="E186" s="10" t="s">
        <v>54</v>
      </c>
      <c r="F186" s="10" t="s">
        <v>1779</v>
      </c>
      <c r="G186" s="10" t="s">
        <v>1780</v>
      </c>
      <c r="H186" s="10" t="s">
        <v>1781</v>
      </c>
      <c r="I186" s="10" t="s">
        <v>1782</v>
      </c>
      <c r="J186" s="10" t="s">
        <v>1784</v>
      </c>
      <c r="K186" s="13" t="s">
        <v>1785</v>
      </c>
      <c r="L186" s="12" t="s">
        <v>330</v>
      </c>
    </row>
    <row r="187" spans="1:12" ht="14.25" customHeight="1">
      <c r="A187" s="10">
        <v>334</v>
      </c>
      <c r="B187" s="10" t="s">
        <v>669</v>
      </c>
      <c r="C187" s="12" t="s">
        <v>141</v>
      </c>
      <c r="D187" s="10" t="s">
        <v>1787</v>
      </c>
      <c r="E187" s="10" t="s">
        <v>1102</v>
      </c>
      <c r="F187" s="10" t="s">
        <v>1788</v>
      </c>
      <c r="G187" s="10" t="s">
        <v>1789</v>
      </c>
      <c r="H187" s="10" t="s">
        <v>1790</v>
      </c>
      <c r="I187" s="10" t="s">
        <v>1791</v>
      </c>
      <c r="J187" s="10" t="s">
        <v>1793</v>
      </c>
      <c r="K187" s="13" t="s">
        <v>1794</v>
      </c>
      <c r="L187" s="12" t="s">
        <v>346</v>
      </c>
    </row>
    <row r="188" spans="1:12" ht="14.25" customHeight="1">
      <c r="A188" s="10">
        <v>344</v>
      </c>
      <c r="B188" s="10" t="s">
        <v>669</v>
      </c>
      <c r="C188" s="12" t="s">
        <v>141</v>
      </c>
      <c r="D188" s="10" t="s">
        <v>1798</v>
      </c>
      <c r="E188" s="10" t="s">
        <v>36</v>
      </c>
      <c r="F188" s="10" t="s">
        <v>1799</v>
      </c>
      <c r="G188" s="10" t="s">
        <v>1800</v>
      </c>
      <c r="H188" s="10" t="s">
        <v>1801</v>
      </c>
      <c r="I188" s="10" t="s">
        <v>1802</v>
      </c>
      <c r="J188" s="10" t="s">
        <v>1803</v>
      </c>
      <c r="K188" s="13" t="s">
        <v>1804</v>
      </c>
      <c r="L188" s="12" t="s">
        <v>358</v>
      </c>
    </row>
    <row r="189" spans="1:12" ht="14.25" customHeight="1">
      <c r="A189" s="10">
        <v>330</v>
      </c>
      <c r="B189" s="10" t="s">
        <v>669</v>
      </c>
      <c r="C189" s="12" t="s">
        <v>141</v>
      </c>
      <c r="D189" s="10" t="s">
        <v>1806</v>
      </c>
      <c r="E189" s="10" t="s">
        <v>26</v>
      </c>
      <c r="F189" s="10" t="s">
        <v>1808</v>
      </c>
      <c r="G189" s="10" t="s">
        <v>1809</v>
      </c>
      <c r="H189" s="10" t="s">
        <v>1810</v>
      </c>
      <c r="I189" s="10" t="s">
        <v>1811</v>
      </c>
      <c r="J189" s="10" t="s">
        <v>1812</v>
      </c>
      <c r="K189" s="13" t="s">
        <v>1813</v>
      </c>
      <c r="L189" s="12" t="s">
        <v>369</v>
      </c>
    </row>
    <row r="190" spans="1:12" ht="14.25" customHeight="1">
      <c r="A190" s="10">
        <v>328</v>
      </c>
      <c r="B190" s="10" t="s">
        <v>669</v>
      </c>
      <c r="C190" s="12" t="s">
        <v>141</v>
      </c>
      <c r="D190" s="10" t="s">
        <v>1816</v>
      </c>
      <c r="E190" s="10" t="s">
        <v>93</v>
      </c>
      <c r="F190" s="10" t="s">
        <v>1817</v>
      </c>
      <c r="G190" s="10" t="s">
        <v>1818</v>
      </c>
      <c r="H190" s="10" t="s">
        <v>1819</v>
      </c>
      <c r="I190" s="10" t="s">
        <v>1820</v>
      </c>
      <c r="J190" s="10" t="s">
        <v>1821</v>
      </c>
      <c r="K190" s="13" t="s">
        <v>1822</v>
      </c>
      <c r="L190" s="12" t="s">
        <v>377</v>
      </c>
    </row>
    <row r="191" spans="1:12" ht="14.25" customHeight="1">
      <c r="A191" s="10">
        <v>332</v>
      </c>
      <c r="B191" s="10" t="s">
        <v>669</v>
      </c>
      <c r="C191" s="12" t="s">
        <v>141</v>
      </c>
      <c r="D191" s="10" t="s">
        <v>1823</v>
      </c>
      <c r="E191" s="10" t="s">
        <v>1824</v>
      </c>
      <c r="F191" s="10" t="s">
        <v>1825</v>
      </c>
      <c r="G191" s="10" t="s">
        <v>1826</v>
      </c>
      <c r="H191" s="10" t="s">
        <v>1827</v>
      </c>
      <c r="I191" s="10" t="s">
        <v>1533</v>
      </c>
      <c r="J191" s="10" t="s">
        <v>1828</v>
      </c>
      <c r="K191" s="13" t="s">
        <v>1829</v>
      </c>
      <c r="L191" s="12" t="s">
        <v>389</v>
      </c>
    </row>
    <row r="192" spans="1:12" ht="14.25" customHeight="1">
      <c r="A192" s="10">
        <v>349</v>
      </c>
      <c r="B192" s="10" t="s">
        <v>669</v>
      </c>
      <c r="C192" s="12" t="s">
        <v>141</v>
      </c>
      <c r="D192" s="10" t="s">
        <v>1830</v>
      </c>
      <c r="E192" s="10" t="s">
        <v>36</v>
      </c>
      <c r="F192" s="10" t="s">
        <v>1831</v>
      </c>
      <c r="G192" s="10" t="s">
        <v>1832</v>
      </c>
      <c r="H192" s="10" t="s">
        <v>1833</v>
      </c>
      <c r="I192" s="10" t="s">
        <v>1834</v>
      </c>
      <c r="J192" s="10" t="s">
        <v>1835</v>
      </c>
      <c r="K192" s="13" t="s">
        <v>1836</v>
      </c>
      <c r="L192" s="12" t="s">
        <v>400</v>
      </c>
    </row>
    <row r="193" spans="1:12" ht="14.25" customHeight="1">
      <c r="A193" s="10">
        <v>321</v>
      </c>
      <c r="B193" s="10" t="s">
        <v>669</v>
      </c>
      <c r="C193" s="12" t="s">
        <v>141</v>
      </c>
      <c r="D193" s="10" t="s">
        <v>1838</v>
      </c>
      <c r="E193" s="10" t="s">
        <v>148</v>
      </c>
      <c r="F193" s="10" t="s">
        <v>1839</v>
      </c>
      <c r="G193" s="10" t="s">
        <v>1840</v>
      </c>
      <c r="H193" s="10" t="s">
        <v>1841</v>
      </c>
      <c r="I193" s="10" t="s">
        <v>1842</v>
      </c>
      <c r="J193" s="10" t="s">
        <v>1843</v>
      </c>
      <c r="K193" s="13" t="s">
        <v>1844</v>
      </c>
      <c r="L193" s="12" t="s">
        <v>411</v>
      </c>
    </row>
    <row r="194" spans="1:12" ht="14.25" customHeight="1">
      <c r="A194" s="10">
        <v>342</v>
      </c>
      <c r="B194" s="10" t="s">
        <v>669</v>
      </c>
      <c r="C194" s="12" t="s">
        <v>141</v>
      </c>
      <c r="D194" s="10" t="s">
        <v>1845</v>
      </c>
      <c r="E194" s="10" t="s">
        <v>36</v>
      </c>
      <c r="F194" s="10" t="s">
        <v>1846</v>
      </c>
      <c r="G194" s="10" t="s">
        <v>1847</v>
      </c>
      <c r="H194" s="10" t="s">
        <v>1848</v>
      </c>
      <c r="I194" s="10" t="s">
        <v>1849</v>
      </c>
      <c r="J194" s="10" t="s">
        <v>1850</v>
      </c>
      <c r="K194" s="13" t="s">
        <v>1851</v>
      </c>
      <c r="L194" s="12" t="s">
        <v>421</v>
      </c>
    </row>
    <row r="195" spans="1:12" ht="14.25" customHeight="1">
      <c r="A195" s="10">
        <v>345</v>
      </c>
      <c r="B195" s="10" t="s">
        <v>669</v>
      </c>
      <c r="C195" s="12" t="s">
        <v>141</v>
      </c>
      <c r="D195" s="10" t="s">
        <v>1852</v>
      </c>
      <c r="E195" s="10" t="s">
        <v>36</v>
      </c>
      <c r="F195" s="10" t="s">
        <v>1853</v>
      </c>
      <c r="G195" s="10" t="s">
        <v>1854</v>
      </c>
      <c r="H195" s="10" t="s">
        <v>1855</v>
      </c>
      <c r="I195" s="10" t="s">
        <v>1856</v>
      </c>
      <c r="J195" s="10" t="s">
        <v>1857</v>
      </c>
      <c r="K195" s="13" t="s">
        <v>1858</v>
      </c>
      <c r="L195" s="12" t="s">
        <v>432</v>
      </c>
    </row>
    <row r="196" spans="1:12" ht="14.25" customHeight="1">
      <c r="A196" s="10">
        <v>348</v>
      </c>
      <c r="B196" s="10" t="s">
        <v>669</v>
      </c>
      <c r="C196" s="12" t="s">
        <v>141</v>
      </c>
      <c r="D196" s="10" t="s">
        <v>1860</v>
      </c>
      <c r="E196" s="10" t="s">
        <v>36</v>
      </c>
      <c r="F196" s="10" t="s">
        <v>1861</v>
      </c>
      <c r="G196" s="10" t="s">
        <v>1862</v>
      </c>
      <c r="H196" s="10" t="s">
        <v>1863</v>
      </c>
      <c r="I196" s="10" t="s">
        <v>1864</v>
      </c>
      <c r="J196" s="10" t="s">
        <v>1865</v>
      </c>
      <c r="K196" s="13" t="s">
        <v>1866</v>
      </c>
      <c r="L196" s="12" t="s">
        <v>442</v>
      </c>
    </row>
    <row r="197" spans="1:12" ht="14.25" customHeight="1">
      <c r="A197" s="10">
        <v>339</v>
      </c>
      <c r="B197" s="10" t="s">
        <v>669</v>
      </c>
      <c r="C197" s="12" t="s">
        <v>141</v>
      </c>
      <c r="D197" s="10" t="s">
        <v>1867</v>
      </c>
      <c r="E197" s="10" t="s">
        <v>36</v>
      </c>
      <c r="F197" s="10" t="s">
        <v>1869</v>
      </c>
      <c r="G197" s="10" t="s">
        <v>1870</v>
      </c>
      <c r="H197" s="10" t="s">
        <v>1871</v>
      </c>
      <c r="I197" s="10" t="s">
        <v>1872</v>
      </c>
      <c r="J197" s="10" t="s">
        <v>1873</v>
      </c>
      <c r="K197" s="13" t="s">
        <v>1874</v>
      </c>
      <c r="L197" s="12" t="s">
        <v>455</v>
      </c>
    </row>
    <row r="198" spans="1:12" ht="14.25" customHeight="1">
      <c r="A198" s="10">
        <v>358</v>
      </c>
      <c r="B198" s="10" t="s">
        <v>669</v>
      </c>
      <c r="C198" s="12" t="s">
        <v>141</v>
      </c>
      <c r="D198" s="10" t="s">
        <v>1876</v>
      </c>
      <c r="E198" s="10" t="s">
        <v>36</v>
      </c>
      <c r="F198" s="10" t="s">
        <v>1877</v>
      </c>
      <c r="G198" s="10" t="s">
        <v>1878</v>
      </c>
      <c r="H198" s="10" t="s">
        <v>1879</v>
      </c>
      <c r="I198" s="10" t="s">
        <v>1880</v>
      </c>
      <c r="J198" s="10" t="s">
        <v>1881</v>
      </c>
      <c r="K198" s="13" t="s">
        <v>1882</v>
      </c>
      <c r="L198" s="12" t="s">
        <v>467</v>
      </c>
    </row>
    <row r="199" spans="1:12" ht="14.25" customHeight="1">
      <c r="A199" s="10">
        <v>355</v>
      </c>
      <c r="B199" s="10" t="s">
        <v>669</v>
      </c>
      <c r="C199" s="12" t="s">
        <v>141</v>
      </c>
      <c r="D199" s="10" t="s">
        <v>1883</v>
      </c>
      <c r="E199" s="10" t="s">
        <v>36</v>
      </c>
      <c r="F199" s="10" t="s">
        <v>1884</v>
      </c>
      <c r="G199" s="10" t="s">
        <v>1885</v>
      </c>
      <c r="H199" s="10" t="s">
        <v>1886</v>
      </c>
      <c r="I199" s="10" t="s">
        <v>1887</v>
      </c>
      <c r="J199" s="10" t="s">
        <v>1888</v>
      </c>
      <c r="K199" s="13" t="s">
        <v>1889</v>
      </c>
      <c r="L199" s="12" t="s">
        <v>478</v>
      </c>
    </row>
    <row r="200" spans="1:12" ht="14.25" customHeight="1">
      <c r="A200" s="10">
        <v>319</v>
      </c>
      <c r="B200" s="10" t="s">
        <v>669</v>
      </c>
      <c r="C200" s="12" t="s">
        <v>141</v>
      </c>
      <c r="D200" s="10" t="s">
        <v>1890</v>
      </c>
      <c r="E200" s="10" t="s">
        <v>81</v>
      </c>
      <c r="F200" s="10" t="s">
        <v>1891</v>
      </c>
      <c r="G200" s="10" t="s">
        <v>1892</v>
      </c>
      <c r="H200" s="10" t="s">
        <v>1893</v>
      </c>
      <c r="I200" s="10" t="s">
        <v>1894</v>
      </c>
      <c r="J200" s="10" t="s">
        <v>1895</v>
      </c>
      <c r="K200" s="13" t="s">
        <v>1896</v>
      </c>
      <c r="L200" s="12" t="s">
        <v>495</v>
      </c>
    </row>
    <row r="201" spans="1:12" ht="14.25" customHeight="1">
      <c r="A201" s="10">
        <v>325</v>
      </c>
      <c r="B201" s="10" t="s">
        <v>669</v>
      </c>
      <c r="C201" s="12" t="s">
        <v>141</v>
      </c>
      <c r="D201" s="10" t="s">
        <v>1897</v>
      </c>
      <c r="E201" s="10" t="s">
        <v>36</v>
      </c>
      <c r="F201" s="10" t="s">
        <v>1898</v>
      </c>
      <c r="G201" s="10" t="s">
        <v>1899</v>
      </c>
      <c r="H201" s="10" t="s">
        <v>1900</v>
      </c>
      <c r="I201" s="10" t="s">
        <v>1901</v>
      </c>
      <c r="J201" s="10" t="s">
        <v>1902</v>
      </c>
      <c r="K201" s="13" t="s">
        <v>1903</v>
      </c>
      <c r="L201" s="12" t="s">
        <v>505</v>
      </c>
    </row>
    <row r="202" spans="1:12" ht="14.25" customHeight="1">
      <c r="A202" s="10">
        <v>338</v>
      </c>
      <c r="B202" s="10" t="s">
        <v>669</v>
      </c>
      <c r="C202" s="12" t="s">
        <v>141</v>
      </c>
      <c r="D202" s="10" t="s">
        <v>1904</v>
      </c>
      <c r="E202" s="10" t="s">
        <v>36</v>
      </c>
      <c r="F202" s="10" t="s">
        <v>1906</v>
      </c>
      <c r="G202" s="10" t="s">
        <v>1907</v>
      </c>
      <c r="H202" s="10" t="s">
        <v>1908</v>
      </c>
      <c r="I202" s="10" t="s">
        <v>1909</v>
      </c>
      <c r="J202" s="10" t="s">
        <v>1910</v>
      </c>
      <c r="K202" s="13" t="s">
        <v>1911</v>
      </c>
      <c r="L202" s="12" t="s">
        <v>516</v>
      </c>
    </row>
    <row r="203" spans="1:12" ht="14.25" customHeight="1">
      <c r="A203" s="10">
        <v>333</v>
      </c>
      <c r="B203" s="10" t="s">
        <v>669</v>
      </c>
      <c r="C203" s="12" t="s">
        <v>141</v>
      </c>
      <c r="D203" s="10" t="s">
        <v>1912</v>
      </c>
      <c r="E203" s="10" t="s">
        <v>36</v>
      </c>
      <c r="F203" s="10" t="s">
        <v>1913</v>
      </c>
      <c r="G203" s="10" t="s">
        <v>1914</v>
      </c>
      <c r="H203" s="10" t="s">
        <v>1915</v>
      </c>
      <c r="I203" s="10" t="s">
        <v>1916</v>
      </c>
      <c r="J203" s="10" t="s">
        <v>1917</v>
      </c>
      <c r="K203" s="13" t="s">
        <v>1918</v>
      </c>
      <c r="L203" s="12" t="s">
        <v>525</v>
      </c>
    </row>
    <row r="204" spans="1:12" ht="14.25" customHeight="1">
      <c r="A204" s="10">
        <v>323</v>
      </c>
      <c r="B204" s="10" t="s">
        <v>669</v>
      </c>
      <c r="C204" s="12" t="s">
        <v>141</v>
      </c>
      <c r="D204" s="10" t="s">
        <v>1919</v>
      </c>
      <c r="E204" s="10" t="s">
        <v>1920</v>
      </c>
      <c r="F204" s="10" t="s">
        <v>1921</v>
      </c>
      <c r="G204" s="10" t="s">
        <v>1922</v>
      </c>
      <c r="H204" s="10" t="s">
        <v>1923</v>
      </c>
      <c r="I204" s="10" t="s">
        <v>1924</v>
      </c>
      <c r="J204" s="10" t="s">
        <v>1925</v>
      </c>
      <c r="K204" s="13" t="s">
        <v>1926</v>
      </c>
      <c r="L204" s="12" t="s">
        <v>1928</v>
      </c>
    </row>
    <row r="205" spans="1:12" ht="14.25" customHeight="1">
      <c r="A205" s="10">
        <v>346</v>
      </c>
      <c r="B205" s="10" t="s">
        <v>669</v>
      </c>
      <c r="C205" s="12" t="s">
        <v>141</v>
      </c>
      <c r="D205" s="10" t="s">
        <v>1929</v>
      </c>
      <c r="E205" s="10" t="s">
        <v>194</v>
      </c>
      <c r="F205" s="10" t="s">
        <v>1930</v>
      </c>
      <c r="G205" s="10" t="s">
        <v>1931</v>
      </c>
      <c r="H205" s="10" t="s">
        <v>556</v>
      </c>
      <c r="I205" s="10" t="s">
        <v>556</v>
      </c>
      <c r="J205" s="10" t="s">
        <v>556</v>
      </c>
      <c r="K205" s="13" t="s">
        <v>1932</v>
      </c>
      <c r="L205" s="12" t="s">
        <v>538</v>
      </c>
    </row>
    <row r="206" spans="1:12" ht="14.25" customHeight="1">
      <c r="A206" s="10">
        <v>341</v>
      </c>
      <c r="B206" s="10" t="s">
        <v>669</v>
      </c>
      <c r="C206" s="12" t="s">
        <v>141</v>
      </c>
      <c r="D206" s="10" t="s">
        <v>1933</v>
      </c>
      <c r="E206" s="10" t="s">
        <v>26</v>
      </c>
      <c r="F206" s="10" t="s">
        <v>1934</v>
      </c>
      <c r="G206" s="10" t="s">
        <v>1935</v>
      </c>
      <c r="H206" s="10" t="s">
        <v>556</v>
      </c>
      <c r="I206" s="10" t="s">
        <v>556</v>
      </c>
      <c r="J206" s="10" t="s">
        <v>556</v>
      </c>
      <c r="K206" s="13" t="s">
        <v>1936</v>
      </c>
      <c r="L206" s="12" t="s">
        <v>538</v>
      </c>
    </row>
    <row r="207" spans="1:12" ht="14.25" customHeight="1">
      <c r="A207" s="10">
        <v>340</v>
      </c>
      <c r="B207" s="10" t="s">
        <v>669</v>
      </c>
      <c r="C207" s="12" t="s">
        <v>141</v>
      </c>
      <c r="D207" s="10" t="s">
        <v>1937</v>
      </c>
      <c r="E207" s="10" t="s">
        <v>155</v>
      </c>
      <c r="F207" s="10" t="s">
        <v>1938</v>
      </c>
      <c r="G207" s="10" t="s">
        <v>646</v>
      </c>
      <c r="H207" s="10" t="s">
        <v>556</v>
      </c>
      <c r="I207" s="10" t="s">
        <v>556</v>
      </c>
      <c r="J207" s="10" t="s">
        <v>556</v>
      </c>
      <c r="K207" s="13" t="s">
        <v>1939</v>
      </c>
      <c r="L207" s="12" t="s">
        <v>538</v>
      </c>
    </row>
    <row r="208" spans="1:12" ht="14.25" customHeight="1">
      <c r="A208" s="10">
        <v>335</v>
      </c>
      <c r="B208" s="10" t="s">
        <v>669</v>
      </c>
      <c r="C208" s="12" t="s">
        <v>141</v>
      </c>
      <c r="D208" s="10" t="s">
        <v>1941</v>
      </c>
      <c r="E208" s="10" t="s">
        <v>36</v>
      </c>
      <c r="F208" s="10" t="s">
        <v>1942</v>
      </c>
      <c r="G208" s="10" t="s">
        <v>1943</v>
      </c>
      <c r="H208" s="10" t="s">
        <v>1944</v>
      </c>
      <c r="I208" s="10" t="s">
        <v>1945</v>
      </c>
      <c r="J208" s="10" t="s">
        <v>1946</v>
      </c>
      <c r="K208" s="13" t="s">
        <v>1947</v>
      </c>
      <c r="L208" s="12" t="s">
        <v>538</v>
      </c>
    </row>
    <row r="209" spans="1:12" ht="14.25" customHeight="1">
      <c r="A209" s="10">
        <v>400</v>
      </c>
      <c r="B209" s="10" t="s">
        <v>22</v>
      </c>
      <c r="C209" s="12" t="s">
        <v>23</v>
      </c>
      <c r="D209" s="10" t="s">
        <v>1948</v>
      </c>
      <c r="E209" s="10" t="s">
        <v>36</v>
      </c>
      <c r="F209" s="10" t="s">
        <v>556</v>
      </c>
      <c r="G209" s="10" t="s">
        <v>556</v>
      </c>
      <c r="H209" s="10" t="s">
        <v>556</v>
      </c>
      <c r="I209" s="10" t="s">
        <v>556</v>
      </c>
      <c r="J209" s="10" t="s">
        <v>556</v>
      </c>
      <c r="K209" s="13" t="s">
        <v>556</v>
      </c>
      <c r="L209" s="12" t="s">
        <v>1949</v>
      </c>
    </row>
    <row r="210" spans="1:12" ht="14.25" customHeight="1">
      <c r="A210" s="10">
        <v>205</v>
      </c>
      <c r="B210" s="10" t="s">
        <v>107</v>
      </c>
      <c r="C210" s="12" t="s">
        <v>23</v>
      </c>
      <c r="D210" s="10" t="s">
        <v>1750</v>
      </c>
      <c r="E210" s="10" t="s">
        <v>36</v>
      </c>
      <c r="F210" s="10" t="s">
        <v>556</v>
      </c>
      <c r="G210" s="10" t="s">
        <v>556</v>
      </c>
      <c r="H210" s="10" t="s">
        <v>556</v>
      </c>
      <c r="I210" s="10" t="s">
        <v>556</v>
      </c>
      <c r="J210" s="10" t="s">
        <v>556</v>
      </c>
      <c r="K210" s="13" t="s">
        <v>556</v>
      </c>
      <c r="L210" s="12" t="s">
        <v>1949</v>
      </c>
    </row>
    <row r="211" spans="1:12" ht="14.25" customHeight="1">
      <c r="A211" s="10">
        <v>151</v>
      </c>
      <c r="B211" s="10" t="s">
        <v>260</v>
      </c>
      <c r="C211" s="12" t="s">
        <v>141</v>
      </c>
      <c r="D211" s="10" t="s">
        <v>1528</v>
      </c>
      <c r="E211" s="10" t="s">
        <v>446</v>
      </c>
      <c r="F211" s="10" t="s">
        <v>556</v>
      </c>
      <c r="G211" s="10" t="s">
        <v>556</v>
      </c>
      <c r="H211" s="10" t="s">
        <v>556</v>
      </c>
      <c r="I211" s="10" t="s">
        <v>556</v>
      </c>
      <c r="J211" s="10" t="s">
        <v>556</v>
      </c>
      <c r="K211" s="13" t="s">
        <v>556</v>
      </c>
      <c r="L211" s="12" t="s">
        <v>1949</v>
      </c>
    </row>
    <row r="212" spans="1:12" ht="14.25" customHeight="1">
      <c r="A212" s="10">
        <v>132</v>
      </c>
      <c r="B212" s="10" t="s">
        <v>331</v>
      </c>
      <c r="C212" s="12" t="s">
        <v>23</v>
      </c>
      <c r="D212" s="10" t="s">
        <v>1354</v>
      </c>
      <c r="E212" s="10" t="s">
        <v>446</v>
      </c>
      <c r="F212" s="10" t="s">
        <v>556</v>
      </c>
      <c r="G212" s="10" t="s">
        <v>556</v>
      </c>
      <c r="H212" s="10" t="s">
        <v>556</v>
      </c>
      <c r="I212" s="10" t="s">
        <v>556</v>
      </c>
      <c r="J212" s="10" t="s">
        <v>556</v>
      </c>
      <c r="K212" s="13" t="s">
        <v>556</v>
      </c>
      <c r="L212" s="12" t="s">
        <v>1949</v>
      </c>
    </row>
    <row r="213" spans="1:12" ht="14.25" customHeight="1">
      <c r="A213" s="10">
        <v>157</v>
      </c>
      <c r="B213" s="10" t="s">
        <v>331</v>
      </c>
      <c r="C213" s="12" t="s">
        <v>141</v>
      </c>
      <c r="D213" s="10" t="s">
        <v>1570</v>
      </c>
      <c r="E213" s="10" t="s">
        <v>446</v>
      </c>
      <c r="F213" s="10" t="s">
        <v>556</v>
      </c>
      <c r="G213" s="10" t="s">
        <v>556</v>
      </c>
      <c r="H213" s="10" t="s">
        <v>556</v>
      </c>
      <c r="I213" s="10" t="s">
        <v>556</v>
      </c>
      <c r="J213" s="10" t="s">
        <v>556</v>
      </c>
      <c r="K213" s="13" t="s">
        <v>556</v>
      </c>
      <c r="L213" s="12" t="s">
        <v>1949</v>
      </c>
    </row>
    <row r="214" spans="1:12" ht="14.25" customHeight="1">
      <c r="A214" s="10">
        <v>173</v>
      </c>
      <c r="B214" s="10" t="s">
        <v>331</v>
      </c>
      <c r="C214" s="12" t="s">
        <v>141</v>
      </c>
      <c r="D214" s="10" t="s">
        <v>1545</v>
      </c>
      <c r="E214" s="10" t="s">
        <v>446</v>
      </c>
      <c r="F214" s="10" t="s">
        <v>556</v>
      </c>
      <c r="G214" s="10" t="s">
        <v>556</v>
      </c>
      <c r="H214" s="10" t="s">
        <v>556</v>
      </c>
      <c r="I214" s="10" t="s">
        <v>556</v>
      </c>
      <c r="J214" s="10" t="s">
        <v>556</v>
      </c>
      <c r="K214" s="13" t="s">
        <v>556</v>
      </c>
      <c r="L214" s="12" t="s">
        <v>1949</v>
      </c>
    </row>
    <row r="215" spans="1:12" ht="14.25" customHeight="1">
      <c r="A215" s="10">
        <v>119</v>
      </c>
      <c r="B215" s="10" t="s">
        <v>480</v>
      </c>
      <c r="C215" s="12" t="s">
        <v>141</v>
      </c>
      <c r="D215" s="10" t="s">
        <v>1455</v>
      </c>
      <c r="E215" s="10" t="s">
        <v>446</v>
      </c>
      <c r="F215" s="10" t="s">
        <v>556</v>
      </c>
      <c r="G215" s="10" t="s">
        <v>556</v>
      </c>
      <c r="H215" s="10" t="s">
        <v>556</v>
      </c>
      <c r="I215" s="10" t="s">
        <v>556</v>
      </c>
      <c r="J215" s="10" t="s">
        <v>556</v>
      </c>
      <c r="K215" s="13" t="s">
        <v>556</v>
      </c>
      <c r="L215" s="12" t="s">
        <v>1949</v>
      </c>
    </row>
    <row r="216" spans="1:12" ht="14.25" customHeight="1">
      <c r="A216" s="10">
        <v>124</v>
      </c>
      <c r="B216" s="10" t="s">
        <v>480</v>
      </c>
      <c r="C216" s="12" t="s">
        <v>141</v>
      </c>
      <c r="D216" s="10" t="s">
        <v>769</v>
      </c>
      <c r="E216" s="10" t="s">
        <v>334</v>
      </c>
      <c r="F216" s="10" t="s">
        <v>556</v>
      </c>
      <c r="G216" s="10" t="s">
        <v>556</v>
      </c>
      <c r="H216" s="10" t="s">
        <v>556</v>
      </c>
      <c r="I216" s="10" t="s">
        <v>556</v>
      </c>
      <c r="J216" s="10" t="s">
        <v>556</v>
      </c>
      <c r="K216" s="13" t="s">
        <v>556</v>
      </c>
      <c r="L216" s="12" t="s">
        <v>1949</v>
      </c>
    </row>
    <row r="217" spans="1:12" ht="14.25" customHeight="1">
      <c r="A217" s="10">
        <v>113</v>
      </c>
      <c r="B217" s="10" t="s">
        <v>480</v>
      </c>
      <c r="C217" s="12" t="s">
        <v>141</v>
      </c>
      <c r="D217" s="10" t="s">
        <v>465</v>
      </c>
      <c r="E217" s="10" t="s">
        <v>458</v>
      </c>
      <c r="F217" s="10" t="s">
        <v>556</v>
      </c>
      <c r="G217" s="10" t="s">
        <v>556</v>
      </c>
      <c r="H217" s="10" t="s">
        <v>556</v>
      </c>
      <c r="I217" s="10" t="s">
        <v>556</v>
      </c>
      <c r="J217" s="10" t="s">
        <v>556</v>
      </c>
      <c r="K217" s="13" t="s">
        <v>556</v>
      </c>
      <c r="L217" s="12" t="s">
        <v>1949</v>
      </c>
    </row>
    <row r="218" spans="1:12" ht="14.25" customHeight="1">
      <c r="A218" s="10">
        <v>117</v>
      </c>
      <c r="B218" s="10" t="s">
        <v>480</v>
      </c>
      <c r="C218" s="12" t="s">
        <v>141</v>
      </c>
      <c r="D218" s="10" t="s">
        <v>1463</v>
      </c>
      <c r="E218" s="10" t="s">
        <v>446</v>
      </c>
      <c r="F218" s="10" t="s">
        <v>556</v>
      </c>
      <c r="G218" s="10" t="s">
        <v>556</v>
      </c>
      <c r="H218" s="10" t="s">
        <v>556</v>
      </c>
      <c r="I218" s="10" t="s">
        <v>556</v>
      </c>
      <c r="J218" s="10" t="s">
        <v>556</v>
      </c>
      <c r="K218" s="13" t="s">
        <v>556</v>
      </c>
      <c r="L218" s="12" t="s">
        <v>1949</v>
      </c>
    </row>
    <row r="219" spans="1:12" ht="14.25" customHeight="1">
      <c r="A219" s="10">
        <v>118</v>
      </c>
      <c r="B219" s="10" t="s">
        <v>480</v>
      </c>
      <c r="C219" s="12" t="s">
        <v>141</v>
      </c>
      <c r="D219" s="10" t="s">
        <v>510</v>
      </c>
      <c r="E219" s="10" t="s">
        <v>334</v>
      </c>
      <c r="F219" s="10" t="s">
        <v>556</v>
      </c>
      <c r="G219" s="10" t="s">
        <v>556</v>
      </c>
      <c r="H219" s="10" t="s">
        <v>556</v>
      </c>
      <c r="I219" s="10" t="s">
        <v>556</v>
      </c>
      <c r="J219" s="10" t="s">
        <v>556</v>
      </c>
      <c r="K219" s="13" t="s">
        <v>556</v>
      </c>
      <c r="L219" s="12" t="s">
        <v>1949</v>
      </c>
    </row>
    <row r="220" spans="1:12" ht="14.25" customHeight="1">
      <c r="A220" s="10">
        <v>105</v>
      </c>
      <c r="B220" s="10" t="s">
        <v>519</v>
      </c>
      <c r="C220" s="12" t="s">
        <v>141</v>
      </c>
      <c r="D220" s="10" t="s">
        <v>729</v>
      </c>
      <c r="E220" s="10" t="s">
        <v>1268</v>
      </c>
      <c r="F220" s="10" t="s">
        <v>556</v>
      </c>
      <c r="G220" s="10" t="s">
        <v>556</v>
      </c>
      <c r="H220" s="10" t="s">
        <v>556</v>
      </c>
      <c r="I220" s="10" t="s">
        <v>556</v>
      </c>
      <c r="J220" s="10" t="s">
        <v>556</v>
      </c>
      <c r="K220" s="13" t="s">
        <v>556</v>
      </c>
      <c r="L220" s="12" t="s">
        <v>1949</v>
      </c>
    </row>
    <row r="221" spans="1:12" ht="14.25" customHeight="1">
      <c r="A221" s="10">
        <v>701</v>
      </c>
      <c r="B221" s="10" t="s">
        <v>1954</v>
      </c>
      <c r="C221" s="12" t="s">
        <v>23</v>
      </c>
      <c r="D221" s="10" t="s">
        <v>44</v>
      </c>
      <c r="E221" s="10" t="s">
        <v>45</v>
      </c>
      <c r="F221" s="10" t="s">
        <v>1955</v>
      </c>
      <c r="G221" s="10" t="s">
        <v>1956</v>
      </c>
      <c r="H221" s="43" t="s">
        <v>1958</v>
      </c>
      <c r="I221" s="43" t="s">
        <v>1959</v>
      </c>
      <c r="J221" s="44">
        <v>1.4664351851851852E-2</v>
      </c>
      <c r="K221" s="45">
        <v>4.887037037037037E-2</v>
      </c>
      <c r="L221" s="12" t="s">
        <v>34</v>
      </c>
    </row>
    <row r="222" spans="1:12" ht="14.25" customHeight="1">
      <c r="A222" s="10">
        <v>702</v>
      </c>
      <c r="B222" s="10" t="s">
        <v>1954</v>
      </c>
      <c r="C222" s="12" t="s">
        <v>23</v>
      </c>
      <c r="D222" s="10" t="s">
        <v>772</v>
      </c>
      <c r="E222" s="10" t="s">
        <v>36</v>
      </c>
      <c r="F222" s="10" t="s">
        <v>1962</v>
      </c>
      <c r="G222" s="10" t="s">
        <v>1963</v>
      </c>
      <c r="H222" s="43" t="s">
        <v>1964</v>
      </c>
      <c r="I222" s="43" t="s">
        <v>374</v>
      </c>
      <c r="J222" s="44">
        <v>1.5277777777777777E-2</v>
      </c>
      <c r="K222" s="45">
        <v>4.9735995370370364E-2</v>
      </c>
      <c r="L222" s="12" t="s">
        <v>43</v>
      </c>
    </row>
    <row r="223" spans="1:12" ht="14.25" customHeight="1">
      <c r="A223" s="10">
        <v>700</v>
      </c>
      <c r="B223" s="10" t="s">
        <v>1954</v>
      </c>
      <c r="C223" s="12" t="s">
        <v>23</v>
      </c>
      <c r="D223" s="10" t="s">
        <v>786</v>
      </c>
      <c r="E223" s="10" t="s">
        <v>72</v>
      </c>
      <c r="F223" s="10" t="s">
        <v>1965</v>
      </c>
      <c r="G223" s="10" t="s">
        <v>1966</v>
      </c>
      <c r="H223" s="43" t="s">
        <v>1967</v>
      </c>
      <c r="I223" s="43" t="s">
        <v>1968</v>
      </c>
      <c r="J223" s="44">
        <v>1.894675925925926E-2</v>
      </c>
      <c r="K223" s="45">
        <v>5.8405439814814809E-2</v>
      </c>
      <c r="L223" s="12" t="s">
        <v>52</v>
      </c>
    </row>
    <row r="224" spans="1:12" ht="14.25" customHeight="1">
      <c r="A224" s="10">
        <v>736</v>
      </c>
      <c r="B224" s="10" t="s">
        <v>1954</v>
      </c>
      <c r="C224" s="12" t="s">
        <v>141</v>
      </c>
      <c r="D224" s="10" t="s">
        <v>143</v>
      </c>
      <c r="E224" s="10" t="s">
        <v>45</v>
      </c>
      <c r="F224" s="10" t="s">
        <v>1972</v>
      </c>
      <c r="G224" s="10" t="s">
        <v>1973</v>
      </c>
      <c r="H224" s="43" t="s">
        <v>1974</v>
      </c>
      <c r="I224" s="43" t="s">
        <v>1975</v>
      </c>
      <c r="J224" s="44">
        <v>1.2060185185185186E-2</v>
      </c>
      <c r="K224" s="45">
        <v>4.2146180555555551E-2</v>
      </c>
      <c r="L224" s="12" t="s">
        <v>34</v>
      </c>
    </row>
    <row r="225" spans="1:12" ht="14.25" customHeight="1">
      <c r="A225" s="10">
        <v>731</v>
      </c>
      <c r="B225" s="10" t="s">
        <v>1954</v>
      </c>
      <c r="C225" s="12" t="s">
        <v>141</v>
      </c>
      <c r="D225" s="10" t="s">
        <v>821</v>
      </c>
      <c r="E225" s="10" t="s">
        <v>26</v>
      </c>
      <c r="F225" s="10" t="s">
        <v>1977</v>
      </c>
      <c r="G225" s="10" t="s">
        <v>1978</v>
      </c>
      <c r="H225" s="43" t="s">
        <v>1979</v>
      </c>
      <c r="I225" s="43" t="s">
        <v>1980</v>
      </c>
      <c r="J225" s="44">
        <v>1.3032407407407407E-2</v>
      </c>
      <c r="K225" s="45">
        <v>4.3888888888888887E-2</v>
      </c>
      <c r="L225" s="12" t="s">
        <v>43</v>
      </c>
    </row>
    <row r="226" spans="1:12" ht="14.25" customHeight="1">
      <c r="A226" s="10">
        <v>737</v>
      </c>
      <c r="B226" s="10" t="s">
        <v>1954</v>
      </c>
      <c r="C226" s="12" t="s">
        <v>141</v>
      </c>
      <c r="D226" s="10" t="s">
        <v>840</v>
      </c>
      <c r="E226" s="10" t="s">
        <v>36</v>
      </c>
      <c r="F226" s="10" t="s">
        <v>1982</v>
      </c>
      <c r="G226" s="10" t="s">
        <v>1983</v>
      </c>
      <c r="H226" s="43" t="s">
        <v>1984</v>
      </c>
      <c r="I226" s="43" t="s">
        <v>1985</v>
      </c>
      <c r="J226" s="44">
        <v>1.3333333333333334E-2</v>
      </c>
      <c r="K226" s="45">
        <v>4.591736111111111E-2</v>
      </c>
      <c r="L226" s="12" t="s">
        <v>52</v>
      </c>
    </row>
    <row r="227" spans="1:12" ht="14.25" customHeight="1">
      <c r="A227" s="10">
        <v>720</v>
      </c>
      <c r="B227" s="10" t="s">
        <v>1954</v>
      </c>
      <c r="C227" s="12" t="s">
        <v>141</v>
      </c>
      <c r="D227" s="10" t="s">
        <v>1986</v>
      </c>
      <c r="E227" s="10" t="s">
        <v>798</v>
      </c>
      <c r="F227" s="10" t="s">
        <v>1987</v>
      </c>
      <c r="G227" s="10" t="s">
        <v>1688</v>
      </c>
      <c r="H227" s="43" t="s">
        <v>1988</v>
      </c>
      <c r="I227" s="43" t="s">
        <v>1989</v>
      </c>
      <c r="J227" s="44">
        <v>1.3680555555555555E-2</v>
      </c>
      <c r="K227" s="45">
        <v>4.6285879629629628E-2</v>
      </c>
      <c r="L227" s="12" t="s">
        <v>61</v>
      </c>
    </row>
    <row r="228" spans="1:12" ht="14.25" customHeight="1">
      <c r="A228" s="10">
        <v>719</v>
      </c>
      <c r="B228" s="10" t="s">
        <v>1954</v>
      </c>
      <c r="C228" s="12" t="s">
        <v>141</v>
      </c>
      <c r="D228" s="10" t="s">
        <v>1990</v>
      </c>
      <c r="E228" s="10" t="s">
        <v>36</v>
      </c>
      <c r="F228" s="10" t="s">
        <v>1991</v>
      </c>
      <c r="G228" s="10" t="s">
        <v>1992</v>
      </c>
      <c r="H228" s="43" t="s">
        <v>1993</v>
      </c>
      <c r="I228" s="43" t="s">
        <v>1995</v>
      </c>
      <c r="J228" s="44">
        <v>1.3402777777777777E-2</v>
      </c>
      <c r="K228" s="45">
        <v>4.6936805555555558E-2</v>
      </c>
      <c r="L228" s="12" t="s">
        <v>70</v>
      </c>
    </row>
    <row r="229" spans="1:12" ht="14.25" customHeight="1">
      <c r="A229" s="10">
        <v>722</v>
      </c>
      <c r="B229" s="10" t="s">
        <v>1954</v>
      </c>
      <c r="C229" s="12" t="s">
        <v>141</v>
      </c>
      <c r="D229" s="10" t="s">
        <v>1996</v>
      </c>
      <c r="E229" s="10" t="s">
        <v>54</v>
      </c>
      <c r="F229" s="10" t="s">
        <v>1997</v>
      </c>
      <c r="G229" s="10" t="s">
        <v>817</v>
      </c>
      <c r="H229" s="43" t="s">
        <v>1998</v>
      </c>
      <c r="I229" s="43" t="s">
        <v>1999</v>
      </c>
      <c r="J229" s="44">
        <v>1.6261574074074074E-2</v>
      </c>
      <c r="K229" s="45">
        <v>4.8756481481481484E-2</v>
      </c>
      <c r="L229" s="12" t="s">
        <v>79</v>
      </c>
    </row>
    <row r="230" spans="1:12" ht="14.25" customHeight="1">
      <c r="A230" s="10">
        <v>732</v>
      </c>
      <c r="B230" s="10" t="s">
        <v>1954</v>
      </c>
      <c r="C230" s="12" t="s">
        <v>141</v>
      </c>
      <c r="D230" s="10" t="s">
        <v>2000</v>
      </c>
      <c r="E230" s="10" t="s">
        <v>624</v>
      </c>
      <c r="F230" s="10" t="s">
        <v>2001</v>
      </c>
      <c r="G230" s="10" t="s">
        <v>2002</v>
      </c>
      <c r="H230" s="43" t="s">
        <v>2003</v>
      </c>
      <c r="I230" s="43" t="s">
        <v>2004</v>
      </c>
      <c r="J230" s="44">
        <v>1.6111111111111111E-2</v>
      </c>
      <c r="K230" s="45">
        <v>5.0212037037037034E-2</v>
      </c>
      <c r="L230" s="12" t="s">
        <v>90</v>
      </c>
    </row>
    <row r="231" spans="1:12" ht="14.25" customHeight="1">
      <c r="A231" s="10">
        <v>734</v>
      </c>
      <c r="B231" s="10" t="s">
        <v>1954</v>
      </c>
      <c r="C231" s="12" t="s">
        <v>141</v>
      </c>
      <c r="D231" s="10" t="s">
        <v>2006</v>
      </c>
      <c r="E231" s="10" t="s">
        <v>36</v>
      </c>
      <c r="F231" s="10" t="s">
        <v>2007</v>
      </c>
      <c r="G231" s="10" t="s">
        <v>2008</v>
      </c>
      <c r="H231" s="43" t="s">
        <v>2009</v>
      </c>
      <c r="I231" s="43" t="s">
        <v>2010</v>
      </c>
      <c r="J231" s="44">
        <v>1.4780092592592593E-2</v>
      </c>
      <c r="K231" s="45">
        <v>5.149259259259259E-2</v>
      </c>
      <c r="L231" s="12" t="s">
        <v>100</v>
      </c>
    </row>
    <row r="232" spans="1:12" ht="14.25" customHeight="1">
      <c r="A232" s="10">
        <v>721</v>
      </c>
      <c r="B232" s="10" t="s">
        <v>1954</v>
      </c>
      <c r="C232" s="12" t="s">
        <v>141</v>
      </c>
      <c r="D232" s="10" t="s">
        <v>2012</v>
      </c>
      <c r="E232" s="10" t="s">
        <v>93</v>
      </c>
      <c r="F232" s="10" t="s">
        <v>2013</v>
      </c>
      <c r="G232" s="10" t="s">
        <v>2014</v>
      </c>
      <c r="H232" s="43" t="s">
        <v>2015</v>
      </c>
      <c r="I232" s="43" t="s">
        <v>2016</v>
      </c>
      <c r="J232" s="44">
        <v>1.7303240740740741E-2</v>
      </c>
      <c r="K232" s="45">
        <v>5.6009375E-2</v>
      </c>
      <c r="L232" s="12" t="s">
        <v>109</v>
      </c>
    </row>
    <row r="233" spans="1:12" ht="14.25" customHeight="1">
      <c r="A233" s="10">
        <v>717</v>
      </c>
      <c r="B233" s="10" t="s">
        <v>1954</v>
      </c>
      <c r="C233" s="12" t="s">
        <v>141</v>
      </c>
      <c r="D233" s="10" t="s">
        <v>424</v>
      </c>
      <c r="E233" s="10" t="s">
        <v>36</v>
      </c>
      <c r="F233" s="10" t="s">
        <v>2017</v>
      </c>
      <c r="G233" s="10" t="s">
        <v>2018</v>
      </c>
      <c r="H233" s="43" t="s">
        <v>2019</v>
      </c>
      <c r="I233" s="43" t="s">
        <v>2020</v>
      </c>
      <c r="J233" s="44">
        <v>1.6053240740740739E-2</v>
      </c>
      <c r="K233" s="45">
        <v>5.6049074074074078E-2</v>
      </c>
      <c r="L233" s="12" t="s">
        <v>120</v>
      </c>
    </row>
    <row r="234" spans="1:12" ht="14.25" customHeight="1">
      <c r="A234" s="10">
        <v>733</v>
      </c>
      <c r="B234" s="10" t="s">
        <v>1954</v>
      </c>
      <c r="C234" s="12" t="s">
        <v>141</v>
      </c>
      <c r="D234" s="10" t="s">
        <v>2022</v>
      </c>
      <c r="E234" s="10" t="s">
        <v>36</v>
      </c>
      <c r="F234" s="10" t="s">
        <v>2023</v>
      </c>
      <c r="G234" s="10" t="s">
        <v>2024</v>
      </c>
      <c r="H234" s="43" t="s">
        <v>2025</v>
      </c>
      <c r="I234" s="43" t="s">
        <v>2026</v>
      </c>
      <c r="J234" s="44">
        <v>1.3912037037037037E-2</v>
      </c>
      <c r="K234" s="45">
        <v>5.7117824074074071E-2</v>
      </c>
      <c r="L234" s="12" t="s">
        <v>128</v>
      </c>
    </row>
    <row r="235" spans="1:12" ht="14.25" customHeight="1">
      <c r="A235" s="10">
        <v>725</v>
      </c>
      <c r="B235" s="10" t="s">
        <v>1954</v>
      </c>
      <c r="C235" s="12" t="s">
        <v>141</v>
      </c>
      <c r="D235" s="10" t="s">
        <v>470</v>
      </c>
      <c r="E235" s="10" t="s">
        <v>72</v>
      </c>
      <c r="F235" s="10" t="s">
        <v>2029</v>
      </c>
      <c r="G235" s="10" t="s">
        <v>2030</v>
      </c>
      <c r="H235" s="43" t="s">
        <v>2031</v>
      </c>
      <c r="I235" s="43" t="s">
        <v>2032</v>
      </c>
      <c r="J235" s="44">
        <v>1.9016203703703705E-2</v>
      </c>
      <c r="K235" s="45">
        <v>5.9494560185185182E-2</v>
      </c>
      <c r="L235" s="12" t="s">
        <v>140</v>
      </c>
    </row>
    <row r="236" spans="1:12" ht="14.25" customHeight="1">
      <c r="A236" s="10">
        <v>718</v>
      </c>
      <c r="B236" s="10" t="s">
        <v>1954</v>
      </c>
      <c r="C236" s="12" t="s">
        <v>141</v>
      </c>
      <c r="D236" s="10" t="s">
        <v>2033</v>
      </c>
      <c r="E236" s="10" t="s">
        <v>337</v>
      </c>
      <c r="F236" s="10" t="s">
        <v>2034</v>
      </c>
      <c r="G236" s="10" t="s">
        <v>2035</v>
      </c>
      <c r="H236" s="43" t="s">
        <v>2036</v>
      </c>
      <c r="I236" s="43" t="s">
        <v>2037</v>
      </c>
      <c r="J236" s="44">
        <v>1.8668981481481481E-2</v>
      </c>
      <c r="K236" s="45">
        <v>6.0529282407407403E-2</v>
      </c>
      <c r="L236" s="12" t="s">
        <v>284</v>
      </c>
    </row>
    <row r="237" spans="1:12" ht="14.25" customHeight="1">
      <c r="A237" s="10">
        <v>728</v>
      </c>
      <c r="B237" s="10" t="s">
        <v>1954</v>
      </c>
      <c r="C237" s="12" t="s">
        <v>141</v>
      </c>
      <c r="D237" s="10" t="s">
        <v>2038</v>
      </c>
      <c r="E237" s="10" t="s">
        <v>2039</v>
      </c>
      <c r="F237" s="10" t="s">
        <v>2040</v>
      </c>
      <c r="G237" s="10" t="s">
        <v>2041</v>
      </c>
      <c r="H237" s="43" t="s">
        <v>2042</v>
      </c>
      <c r="I237" s="43" t="s">
        <v>2043</v>
      </c>
      <c r="J237" s="44">
        <v>1.8993055555555555E-2</v>
      </c>
      <c r="K237" s="45">
        <v>6.3160879629629629E-2</v>
      </c>
      <c r="L237" s="12" t="s">
        <v>296</v>
      </c>
    </row>
    <row r="238" spans="1:12" ht="14.25" customHeight="1">
      <c r="A238" s="10">
        <v>727</v>
      </c>
      <c r="B238" s="10" t="s">
        <v>1954</v>
      </c>
      <c r="C238" s="12" t="s">
        <v>141</v>
      </c>
      <c r="D238" s="10" t="s">
        <v>2044</v>
      </c>
      <c r="E238" s="10" t="s">
        <v>36</v>
      </c>
      <c r="F238" s="10" t="s">
        <v>2045</v>
      </c>
      <c r="G238" s="10" t="s">
        <v>2046</v>
      </c>
      <c r="H238" s="43" t="s">
        <v>2047</v>
      </c>
      <c r="I238" s="43" t="s">
        <v>2048</v>
      </c>
      <c r="J238" s="44">
        <v>2.7256944444444445E-2</v>
      </c>
      <c r="K238" s="45">
        <v>6.9790393518518526E-2</v>
      </c>
      <c r="L238" s="12" t="s">
        <v>309</v>
      </c>
    </row>
    <row r="239" spans="1:12" ht="14.25" customHeight="1">
      <c r="A239" s="10">
        <v>724</v>
      </c>
      <c r="B239" s="10" t="s">
        <v>1954</v>
      </c>
      <c r="C239" s="12" t="s">
        <v>141</v>
      </c>
      <c r="D239" s="10" t="s">
        <v>2049</v>
      </c>
      <c r="E239" s="10" t="s">
        <v>349</v>
      </c>
      <c r="F239" s="10" t="s">
        <v>2050</v>
      </c>
      <c r="G239" s="10" t="s">
        <v>2051</v>
      </c>
      <c r="H239" s="43" t="s">
        <v>2052</v>
      </c>
      <c r="I239" s="43" t="s">
        <v>2053</v>
      </c>
      <c r="J239" s="44">
        <v>3.3472222222222223E-2</v>
      </c>
      <c r="K239" s="45">
        <v>8.8408333333333325E-2</v>
      </c>
      <c r="L239" s="12" t="s">
        <v>321</v>
      </c>
    </row>
    <row r="240" spans="1:12" ht="14.25" customHeight="1">
      <c r="A240" s="10">
        <v>735</v>
      </c>
      <c r="B240" s="10" t="s">
        <v>1954</v>
      </c>
      <c r="C240" s="12" t="s">
        <v>141</v>
      </c>
      <c r="D240" s="10" t="s">
        <v>2054</v>
      </c>
      <c r="E240" s="10" t="s">
        <v>45</v>
      </c>
      <c r="F240" s="10" t="s">
        <v>2055</v>
      </c>
      <c r="G240" s="10" t="s">
        <v>2056</v>
      </c>
      <c r="H240" s="43"/>
      <c r="I240" s="43"/>
      <c r="J240" s="47"/>
      <c r="K240" s="45">
        <v>4.8809143518518512E-2</v>
      </c>
      <c r="L240" s="12" t="s">
        <v>538</v>
      </c>
    </row>
    <row r="241" spans="1:12" ht="14.25" customHeight="1">
      <c r="A241" s="10">
        <v>730</v>
      </c>
      <c r="B241" s="10" t="s">
        <v>1954</v>
      </c>
      <c r="C241" s="12" t="s">
        <v>141</v>
      </c>
      <c r="D241" s="10" t="s">
        <v>2058</v>
      </c>
      <c r="E241" s="10" t="s">
        <v>45</v>
      </c>
      <c r="F241" s="10" t="s">
        <v>2059</v>
      </c>
      <c r="G241" s="10" t="s">
        <v>2060</v>
      </c>
      <c r="H241" s="43"/>
      <c r="I241" s="43"/>
      <c r="J241" s="47"/>
      <c r="K241" s="45">
        <v>5.16619212962963E-2</v>
      </c>
      <c r="L241" s="12" t="s">
        <v>538</v>
      </c>
    </row>
    <row r="242" spans="1:12" ht="14.25" customHeight="1">
      <c r="A242" s="10">
        <v>738</v>
      </c>
      <c r="B242" s="10" t="s">
        <v>1954</v>
      </c>
      <c r="C242" s="12" t="s">
        <v>141</v>
      </c>
      <c r="D242" s="10" t="s">
        <v>2061</v>
      </c>
      <c r="E242" s="10" t="s">
        <v>216</v>
      </c>
      <c r="F242" s="10" t="s">
        <v>2062</v>
      </c>
      <c r="G242" s="10" t="s">
        <v>2063</v>
      </c>
      <c r="H242" s="43" t="s">
        <v>2064</v>
      </c>
      <c r="I242" s="43"/>
      <c r="J242" s="47"/>
      <c r="K242" s="48"/>
      <c r="L242" s="12" t="s">
        <v>557</v>
      </c>
    </row>
    <row r="243" spans="1:12" ht="14.25" customHeight="1">
      <c r="A243" s="10">
        <v>704</v>
      </c>
      <c r="B243" s="10" t="s">
        <v>2066</v>
      </c>
      <c r="C243" s="12" t="s">
        <v>23</v>
      </c>
      <c r="D243" s="10" t="s">
        <v>875</v>
      </c>
      <c r="E243" s="10" t="s">
        <v>112</v>
      </c>
      <c r="F243" s="10" t="s">
        <v>2067</v>
      </c>
      <c r="G243" s="10" t="s">
        <v>2068</v>
      </c>
      <c r="H243" s="43" t="s">
        <v>2069</v>
      </c>
      <c r="I243" s="43" t="s">
        <v>2070</v>
      </c>
      <c r="J243" s="44">
        <v>1.7916666666666668E-2</v>
      </c>
      <c r="K243" s="45">
        <v>5.5368981481481484E-2</v>
      </c>
      <c r="L243" s="12" t="s">
        <v>34</v>
      </c>
    </row>
    <row r="244" spans="1:12" ht="14.25" customHeight="1">
      <c r="A244" s="10">
        <v>706</v>
      </c>
      <c r="B244" s="10" t="s">
        <v>2066</v>
      </c>
      <c r="C244" s="12" t="s">
        <v>23</v>
      </c>
      <c r="D244" s="10" t="s">
        <v>891</v>
      </c>
      <c r="E244" s="10" t="s">
        <v>36</v>
      </c>
      <c r="F244" s="10" t="s">
        <v>2073</v>
      </c>
      <c r="G244" s="10" t="s">
        <v>2074</v>
      </c>
      <c r="H244" s="43" t="s">
        <v>2075</v>
      </c>
      <c r="I244" s="43" t="s">
        <v>2077</v>
      </c>
      <c r="J244" s="44">
        <v>1.7314814814814814E-2</v>
      </c>
      <c r="K244" s="45">
        <v>5.9497337962962957E-2</v>
      </c>
      <c r="L244" s="12" t="s">
        <v>43</v>
      </c>
    </row>
    <row r="245" spans="1:12" ht="14.25" customHeight="1">
      <c r="A245" s="10">
        <v>504</v>
      </c>
      <c r="B245" s="10" t="s">
        <v>2066</v>
      </c>
      <c r="C245" s="12" t="s">
        <v>23</v>
      </c>
      <c r="D245" s="10" t="s">
        <v>906</v>
      </c>
      <c r="E245" s="10" t="s">
        <v>908</v>
      </c>
      <c r="F245" s="10" t="s">
        <v>2078</v>
      </c>
      <c r="G245" s="10" t="s">
        <v>2079</v>
      </c>
      <c r="H245" s="43" t="s">
        <v>2080</v>
      </c>
      <c r="I245" s="43" t="s">
        <v>2081</v>
      </c>
      <c r="J245" s="44">
        <v>2.0787037037037038E-2</v>
      </c>
      <c r="K245" s="45">
        <v>6.4527546296296298E-2</v>
      </c>
      <c r="L245" s="12" t="s">
        <v>52</v>
      </c>
    </row>
    <row r="246" spans="1:12" ht="14.25" customHeight="1">
      <c r="A246" s="10">
        <v>703</v>
      </c>
      <c r="B246" s="10" t="s">
        <v>2066</v>
      </c>
      <c r="C246" s="12" t="s">
        <v>23</v>
      </c>
      <c r="D246" s="10" t="s">
        <v>2082</v>
      </c>
      <c r="E246" s="10" t="s">
        <v>2083</v>
      </c>
      <c r="F246" s="10" t="s">
        <v>2084</v>
      </c>
      <c r="G246" s="10" t="s">
        <v>2085</v>
      </c>
      <c r="H246" s="43" t="s">
        <v>2086</v>
      </c>
      <c r="I246" s="43" t="s">
        <v>2087</v>
      </c>
      <c r="J246" s="44">
        <v>2.75E-2</v>
      </c>
      <c r="K246" s="45">
        <v>7.8301388888888893E-2</v>
      </c>
      <c r="L246" s="12" t="s">
        <v>61</v>
      </c>
    </row>
    <row r="247" spans="1:12" ht="14.25" customHeight="1">
      <c r="A247" s="10">
        <v>705</v>
      </c>
      <c r="B247" s="10" t="s">
        <v>2066</v>
      </c>
      <c r="C247" s="12" t="s">
        <v>23</v>
      </c>
      <c r="D247" s="10" t="s">
        <v>2088</v>
      </c>
      <c r="E247" s="10" t="s">
        <v>36</v>
      </c>
      <c r="F247" s="10" t="s">
        <v>2089</v>
      </c>
      <c r="G247" s="10" t="s">
        <v>2090</v>
      </c>
      <c r="H247" s="43" t="s">
        <v>2091</v>
      </c>
      <c r="I247" s="43" t="s">
        <v>2092</v>
      </c>
      <c r="J247" s="44">
        <v>3.2847222222222222E-2</v>
      </c>
      <c r="K247" s="45">
        <v>9.0406134259259266E-2</v>
      </c>
      <c r="L247" s="12" t="s">
        <v>70</v>
      </c>
    </row>
    <row r="248" spans="1:12" ht="14.25" customHeight="1">
      <c r="A248" s="10">
        <v>707</v>
      </c>
      <c r="B248" s="10" t="s">
        <v>2066</v>
      </c>
      <c r="C248" s="12" t="s">
        <v>23</v>
      </c>
      <c r="D248" s="10" t="s">
        <v>2094</v>
      </c>
      <c r="E248" s="10" t="s">
        <v>540</v>
      </c>
      <c r="F248" s="10" t="s">
        <v>2095</v>
      </c>
      <c r="G248" s="10" t="s">
        <v>2096</v>
      </c>
      <c r="H248" s="43" t="s">
        <v>2097</v>
      </c>
      <c r="I248" s="43" t="s">
        <v>2098</v>
      </c>
      <c r="J248" s="44">
        <v>3.201388888888889E-2</v>
      </c>
      <c r="K248" s="45">
        <v>9.1110416666666666E-2</v>
      </c>
      <c r="L248" s="12" t="s">
        <v>79</v>
      </c>
    </row>
    <row r="249" spans="1:12" ht="14.25" customHeight="1">
      <c r="A249" s="10">
        <v>747</v>
      </c>
      <c r="B249" s="10" t="s">
        <v>2066</v>
      </c>
      <c r="C249" s="12" t="s">
        <v>141</v>
      </c>
      <c r="D249" s="10" t="s">
        <v>935</v>
      </c>
      <c r="E249" s="10" t="s">
        <v>183</v>
      </c>
      <c r="F249" s="10" t="s">
        <v>2099</v>
      </c>
      <c r="G249" s="10" t="s">
        <v>2100</v>
      </c>
      <c r="H249" s="43" t="s">
        <v>2101</v>
      </c>
      <c r="I249" s="43" t="s">
        <v>2102</v>
      </c>
      <c r="J249" s="44">
        <v>1.1979166666666667E-2</v>
      </c>
      <c r="K249" s="48" t="s">
        <v>937</v>
      </c>
      <c r="L249" s="12" t="s">
        <v>34</v>
      </c>
    </row>
    <row r="250" spans="1:12" ht="14.25" customHeight="1">
      <c r="A250" s="10">
        <v>745</v>
      </c>
      <c r="B250" s="10" t="s">
        <v>2066</v>
      </c>
      <c r="C250" s="12" t="s">
        <v>141</v>
      </c>
      <c r="D250" s="10" t="s">
        <v>951</v>
      </c>
      <c r="E250" s="10" t="s">
        <v>72</v>
      </c>
      <c r="F250" s="10" t="s">
        <v>2105</v>
      </c>
      <c r="G250" s="10" t="s">
        <v>2106</v>
      </c>
      <c r="H250" s="43" t="s">
        <v>2107</v>
      </c>
      <c r="I250" s="43" t="s">
        <v>2108</v>
      </c>
      <c r="J250" s="44">
        <v>1.3078703703703703E-2</v>
      </c>
      <c r="K250" s="45">
        <v>4.6395370370370372E-2</v>
      </c>
      <c r="L250" s="12" t="s">
        <v>43</v>
      </c>
    </row>
    <row r="251" spans="1:12" ht="14.25" customHeight="1">
      <c r="A251" s="10">
        <v>750</v>
      </c>
      <c r="B251" s="10" t="s">
        <v>2066</v>
      </c>
      <c r="C251" s="12" t="s">
        <v>141</v>
      </c>
      <c r="D251" s="10" t="s">
        <v>965</v>
      </c>
      <c r="E251" s="10" t="s">
        <v>112</v>
      </c>
      <c r="F251" s="10" t="s">
        <v>2109</v>
      </c>
      <c r="G251" s="10" t="s">
        <v>2110</v>
      </c>
      <c r="H251" s="43" t="s">
        <v>2111</v>
      </c>
      <c r="I251" s="43" t="s">
        <v>2112</v>
      </c>
      <c r="J251" s="44">
        <v>1.2881944444444444E-2</v>
      </c>
      <c r="K251" s="45">
        <v>4.6561342592592592E-2</v>
      </c>
      <c r="L251" s="12" t="s">
        <v>52</v>
      </c>
    </row>
    <row r="252" spans="1:12" ht="14.25" customHeight="1">
      <c r="A252" s="10">
        <v>741</v>
      </c>
      <c r="B252" s="10" t="s">
        <v>2066</v>
      </c>
      <c r="C252" s="12" t="s">
        <v>141</v>
      </c>
      <c r="D252" s="10" t="s">
        <v>2114</v>
      </c>
      <c r="E252" s="10" t="s">
        <v>36</v>
      </c>
      <c r="F252" s="10" t="s">
        <v>2115</v>
      </c>
      <c r="G252" s="10" t="s">
        <v>2116</v>
      </c>
      <c r="H252" s="43" t="s">
        <v>2117</v>
      </c>
      <c r="I252" s="43" t="s">
        <v>2118</v>
      </c>
      <c r="J252" s="44">
        <v>1.4189814814814815E-2</v>
      </c>
      <c r="K252" s="45">
        <v>4.7532870370370371E-2</v>
      </c>
      <c r="L252" s="12" t="s">
        <v>61</v>
      </c>
    </row>
    <row r="253" spans="1:12" ht="14.25" customHeight="1">
      <c r="A253" s="10">
        <v>739</v>
      </c>
      <c r="B253" s="10" t="s">
        <v>2066</v>
      </c>
      <c r="C253" s="12" t="s">
        <v>141</v>
      </c>
      <c r="D253" s="10" t="s">
        <v>2119</v>
      </c>
      <c r="E253" s="10" t="s">
        <v>36</v>
      </c>
      <c r="F253" s="10" t="s">
        <v>2120</v>
      </c>
      <c r="G253" s="10" t="s">
        <v>2121</v>
      </c>
      <c r="H253" s="43" t="s">
        <v>2122</v>
      </c>
      <c r="I253" s="43" t="s">
        <v>2123</v>
      </c>
      <c r="J253" s="44">
        <v>1.4687499999999999E-2</v>
      </c>
      <c r="K253" s="45">
        <v>5.0957291666666668E-2</v>
      </c>
      <c r="L253" s="12" t="s">
        <v>70</v>
      </c>
    </row>
    <row r="254" spans="1:12" ht="14.25" customHeight="1">
      <c r="A254" s="10">
        <v>743</v>
      </c>
      <c r="B254" s="10" t="s">
        <v>2066</v>
      </c>
      <c r="C254" s="12" t="s">
        <v>141</v>
      </c>
      <c r="D254" s="10" t="s">
        <v>2124</v>
      </c>
      <c r="E254" s="10" t="s">
        <v>45</v>
      </c>
      <c r="F254" s="10" t="s">
        <v>2125</v>
      </c>
      <c r="G254" s="10" t="s">
        <v>2126</v>
      </c>
      <c r="H254" s="43" t="s">
        <v>2127</v>
      </c>
      <c r="I254" s="43" t="s">
        <v>2128</v>
      </c>
      <c r="J254" s="44">
        <v>1.2395833333333333E-2</v>
      </c>
      <c r="K254" s="45">
        <v>5.2967939814814818E-2</v>
      </c>
      <c r="L254" s="12" t="s">
        <v>79</v>
      </c>
    </row>
    <row r="255" spans="1:12" ht="14.25" customHeight="1">
      <c r="A255" s="10">
        <v>744</v>
      </c>
      <c r="B255" s="10" t="s">
        <v>2066</v>
      </c>
      <c r="C255" s="12" t="s">
        <v>141</v>
      </c>
      <c r="D255" s="10" t="s">
        <v>2130</v>
      </c>
      <c r="E255" s="10" t="s">
        <v>2083</v>
      </c>
      <c r="F255" s="10" t="s">
        <v>2131</v>
      </c>
      <c r="G255" s="10" t="s">
        <v>2132</v>
      </c>
      <c r="H255" s="43" t="s">
        <v>2133</v>
      </c>
      <c r="I255" s="43" t="s">
        <v>2134</v>
      </c>
      <c r="J255" s="44">
        <v>1.607638888888889E-2</v>
      </c>
      <c r="K255" s="45">
        <v>5.3682175925925932E-2</v>
      </c>
      <c r="L255" s="12" t="s">
        <v>90</v>
      </c>
    </row>
    <row r="256" spans="1:12" ht="14.25" customHeight="1">
      <c r="A256" s="10">
        <v>746</v>
      </c>
      <c r="B256" s="10" t="s">
        <v>2066</v>
      </c>
      <c r="C256" s="12" t="s">
        <v>141</v>
      </c>
      <c r="D256" s="10" t="s">
        <v>2135</v>
      </c>
      <c r="E256" s="10" t="s">
        <v>36</v>
      </c>
      <c r="F256" s="10" t="s">
        <v>2136</v>
      </c>
      <c r="G256" s="10" t="s">
        <v>2137</v>
      </c>
      <c r="H256" s="43" t="s">
        <v>2138</v>
      </c>
      <c r="I256" s="43" t="s">
        <v>2139</v>
      </c>
      <c r="J256" s="44">
        <v>1.6111111111111111E-2</v>
      </c>
      <c r="K256" s="45">
        <v>5.3762962962962964E-2</v>
      </c>
      <c r="L256" s="12" t="s">
        <v>100</v>
      </c>
    </row>
    <row r="257" spans="1:12" ht="14.25" customHeight="1">
      <c r="A257" s="10">
        <v>740</v>
      </c>
      <c r="B257" s="10" t="s">
        <v>2066</v>
      </c>
      <c r="C257" s="12" t="s">
        <v>141</v>
      </c>
      <c r="D257" s="10" t="s">
        <v>2140</v>
      </c>
      <c r="E257" s="10" t="s">
        <v>112</v>
      </c>
      <c r="F257" s="10" t="s">
        <v>2141</v>
      </c>
      <c r="G257" s="10" t="s">
        <v>2142</v>
      </c>
      <c r="H257" s="43" t="s">
        <v>2143</v>
      </c>
      <c r="I257" s="43" t="s">
        <v>2144</v>
      </c>
      <c r="J257" s="44">
        <v>1.7071759259259259E-2</v>
      </c>
      <c r="K257" s="45">
        <v>5.7221990740740733E-2</v>
      </c>
      <c r="L257" s="12" t="s">
        <v>109</v>
      </c>
    </row>
    <row r="258" spans="1:12" ht="14.25" customHeight="1">
      <c r="A258" s="10">
        <v>742</v>
      </c>
      <c r="B258" s="10" t="s">
        <v>2066</v>
      </c>
      <c r="C258" s="12" t="s">
        <v>141</v>
      </c>
      <c r="D258" s="10" t="s">
        <v>2145</v>
      </c>
      <c r="E258" s="10" t="s">
        <v>36</v>
      </c>
      <c r="F258" s="10" t="s">
        <v>2146</v>
      </c>
      <c r="G258" s="10" t="s">
        <v>2148</v>
      </c>
      <c r="H258" s="43" t="s">
        <v>2149</v>
      </c>
      <c r="I258" s="43" t="s">
        <v>2150</v>
      </c>
      <c r="J258" s="44">
        <v>1.7465277777777777E-2</v>
      </c>
      <c r="K258" s="45">
        <v>5.8669212962962965E-2</v>
      </c>
      <c r="L258" s="12" t="s">
        <v>120</v>
      </c>
    </row>
    <row r="259" spans="1:12" ht="14.25" customHeight="1">
      <c r="A259" s="10">
        <v>713</v>
      </c>
      <c r="B259" s="10" t="s">
        <v>2066</v>
      </c>
      <c r="C259" s="12" t="s">
        <v>141</v>
      </c>
      <c r="D259" s="10" t="s">
        <v>2151</v>
      </c>
      <c r="E259" s="10" t="s">
        <v>908</v>
      </c>
      <c r="F259" s="10" t="s">
        <v>2152</v>
      </c>
      <c r="G259" s="10" t="s">
        <v>2153</v>
      </c>
      <c r="H259" s="43" t="s">
        <v>2154</v>
      </c>
      <c r="I259" s="43" t="s">
        <v>2155</v>
      </c>
      <c r="J259" s="44">
        <v>1.7210648148148149E-2</v>
      </c>
      <c r="K259" s="45">
        <v>6.4671759259259262E-2</v>
      </c>
      <c r="L259" s="12" t="s">
        <v>128</v>
      </c>
    </row>
    <row r="260" spans="1:12" ht="14.25" customHeight="1">
      <c r="A260" s="10">
        <v>748</v>
      </c>
      <c r="B260" s="10" t="s">
        <v>2066</v>
      </c>
      <c r="C260" s="12" t="s">
        <v>141</v>
      </c>
      <c r="D260" s="10" t="s">
        <v>2156</v>
      </c>
      <c r="E260" s="10" t="s">
        <v>36</v>
      </c>
      <c r="F260" s="10" t="s">
        <v>2157</v>
      </c>
      <c r="G260" s="10" t="s">
        <v>556</v>
      </c>
      <c r="H260" s="43"/>
      <c r="I260" s="43"/>
      <c r="J260" s="47"/>
      <c r="K260" s="48"/>
      <c r="L260" s="12" t="s">
        <v>557</v>
      </c>
    </row>
    <row r="261" spans="1:12" ht="14.25" customHeight="1">
      <c r="A261" s="10">
        <v>710</v>
      </c>
      <c r="B261" s="10" t="s">
        <v>2158</v>
      </c>
      <c r="C261" s="12" t="s">
        <v>23</v>
      </c>
      <c r="D261" s="10" t="s">
        <v>992</v>
      </c>
      <c r="E261" s="10" t="s">
        <v>112</v>
      </c>
      <c r="F261" s="10" t="s">
        <v>2159</v>
      </c>
      <c r="G261" s="10" t="s">
        <v>2160</v>
      </c>
      <c r="H261" s="43" t="s">
        <v>2161</v>
      </c>
      <c r="I261" s="43" t="s">
        <v>2163</v>
      </c>
      <c r="J261" s="44">
        <v>1.787037037037037E-2</v>
      </c>
      <c r="K261" s="45">
        <v>5.7357407407407413E-2</v>
      </c>
      <c r="L261" s="12" t="s">
        <v>34</v>
      </c>
    </row>
    <row r="262" spans="1:12" ht="14.25" customHeight="1">
      <c r="A262" s="10">
        <v>614</v>
      </c>
      <c r="B262" s="10" t="s">
        <v>2158</v>
      </c>
      <c r="C262" s="12" t="s">
        <v>23</v>
      </c>
      <c r="D262" s="10" t="s">
        <v>2164</v>
      </c>
      <c r="E262" s="10" t="s">
        <v>908</v>
      </c>
      <c r="F262" s="10" t="s">
        <v>2165</v>
      </c>
      <c r="G262" s="10" t="s">
        <v>2166</v>
      </c>
      <c r="H262" s="43" t="s">
        <v>2167</v>
      </c>
      <c r="I262" s="43" t="s">
        <v>2168</v>
      </c>
      <c r="J262" s="44">
        <v>1.9618055555555555E-2</v>
      </c>
      <c r="K262" s="45">
        <v>6.4401736111111121E-2</v>
      </c>
      <c r="L262" s="12" t="s">
        <v>43</v>
      </c>
    </row>
    <row r="263" spans="1:12" ht="14.25" customHeight="1">
      <c r="A263" s="10">
        <v>709</v>
      </c>
      <c r="B263" s="10" t="s">
        <v>2158</v>
      </c>
      <c r="C263" s="12" t="s">
        <v>23</v>
      </c>
      <c r="D263" s="10" t="s">
        <v>1027</v>
      </c>
      <c r="E263" s="10" t="s">
        <v>908</v>
      </c>
      <c r="F263" s="10" t="s">
        <v>2169</v>
      </c>
      <c r="G263" s="10" t="s">
        <v>2170</v>
      </c>
      <c r="H263" s="43" t="s">
        <v>2171</v>
      </c>
      <c r="I263" s="43" t="s">
        <v>2172</v>
      </c>
      <c r="J263" s="44">
        <v>2.2476851851851852E-2</v>
      </c>
      <c r="K263" s="45">
        <v>7.5137615740740751E-2</v>
      </c>
      <c r="L263" s="12" t="s">
        <v>52</v>
      </c>
    </row>
    <row r="264" spans="1:12" ht="14.25" customHeight="1">
      <c r="A264" s="10">
        <v>708</v>
      </c>
      <c r="B264" s="10" t="s">
        <v>2158</v>
      </c>
      <c r="C264" s="12" t="s">
        <v>23</v>
      </c>
      <c r="D264" s="10" t="s">
        <v>2173</v>
      </c>
      <c r="E264" s="10" t="s">
        <v>908</v>
      </c>
      <c r="F264" s="10" t="s">
        <v>2175</v>
      </c>
      <c r="G264" s="10" t="s">
        <v>2176</v>
      </c>
      <c r="H264" s="43" t="s">
        <v>2177</v>
      </c>
      <c r="I264" s="43" t="s">
        <v>2178</v>
      </c>
      <c r="J264" s="44">
        <v>2.2488425925925926E-2</v>
      </c>
      <c r="K264" s="45">
        <v>7.5518865740740737E-2</v>
      </c>
      <c r="L264" s="12" t="s">
        <v>61</v>
      </c>
    </row>
    <row r="265" spans="1:12" ht="14.25" customHeight="1">
      <c r="A265" s="10">
        <v>759</v>
      </c>
      <c r="B265" s="10" t="s">
        <v>2158</v>
      </c>
      <c r="C265" s="12" t="s">
        <v>141</v>
      </c>
      <c r="D265" s="10" t="s">
        <v>1037</v>
      </c>
      <c r="E265" s="10" t="s">
        <v>183</v>
      </c>
      <c r="F265" s="10" t="s">
        <v>2179</v>
      </c>
      <c r="G265" s="10" t="s">
        <v>2180</v>
      </c>
      <c r="H265" s="43" t="s">
        <v>2181</v>
      </c>
      <c r="I265" s="43" t="s">
        <v>2182</v>
      </c>
      <c r="J265" s="44">
        <v>1.361111111111111E-2</v>
      </c>
      <c r="K265" s="45">
        <v>4.5918865740740743E-2</v>
      </c>
      <c r="L265" s="12" t="s">
        <v>34</v>
      </c>
    </row>
    <row r="266" spans="1:12" ht="14.25" customHeight="1">
      <c r="A266" s="10">
        <v>751</v>
      </c>
      <c r="B266" s="10" t="s">
        <v>2158</v>
      </c>
      <c r="C266" s="12" t="s">
        <v>141</v>
      </c>
      <c r="D266" s="10" t="s">
        <v>1048</v>
      </c>
      <c r="E266" s="10" t="s">
        <v>183</v>
      </c>
      <c r="F266" s="10" t="s">
        <v>2183</v>
      </c>
      <c r="G266" s="10" t="s">
        <v>2184</v>
      </c>
      <c r="H266" s="43" t="s">
        <v>2185</v>
      </c>
      <c r="I266" s="43" t="s">
        <v>2186</v>
      </c>
      <c r="J266" s="44">
        <v>1.6180555555555556E-2</v>
      </c>
      <c r="K266" s="45">
        <v>4.6825578703703706E-2</v>
      </c>
      <c r="L266" s="12" t="s">
        <v>43</v>
      </c>
    </row>
    <row r="267" spans="1:12" ht="14.25" customHeight="1">
      <c r="A267" s="10">
        <v>756</v>
      </c>
      <c r="B267" s="10" t="s">
        <v>2158</v>
      </c>
      <c r="C267" s="12" t="s">
        <v>141</v>
      </c>
      <c r="D267" s="10" t="s">
        <v>1064</v>
      </c>
      <c r="E267" s="10" t="s">
        <v>301</v>
      </c>
      <c r="F267" s="10" t="s">
        <v>2187</v>
      </c>
      <c r="G267" s="10" t="s">
        <v>2188</v>
      </c>
      <c r="H267" s="43" t="s">
        <v>2189</v>
      </c>
      <c r="I267" s="43" t="s">
        <v>2190</v>
      </c>
      <c r="J267" s="44">
        <v>1.6053240740740739E-2</v>
      </c>
      <c r="K267" s="45">
        <v>5.19707175925926E-2</v>
      </c>
      <c r="L267" s="12" t="s">
        <v>52</v>
      </c>
    </row>
    <row r="268" spans="1:12" ht="14.25" customHeight="1">
      <c r="A268" s="10">
        <v>758</v>
      </c>
      <c r="B268" s="10" t="s">
        <v>2158</v>
      </c>
      <c r="C268" s="12" t="s">
        <v>141</v>
      </c>
      <c r="D268" s="10" t="s">
        <v>2191</v>
      </c>
      <c r="E268" s="10" t="s">
        <v>36</v>
      </c>
      <c r="F268" s="10" t="s">
        <v>2192</v>
      </c>
      <c r="G268" s="10" t="s">
        <v>2193</v>
      </c>
      <c r="H268" s="43" t="s">
        <v>2194</v>
      </c>
      <c r="I268" s="43" t="s">
        <v>2195</v>
      </c>
      <c r="J268" s="44">
        <v>1.5613425925925926E-2</v>
      </c>
      <c r="K268" s="45">
        <v>5.4636458333333332E-2</v>
      </c>
      <c r="L268" s="12" t="s">
        <v>61</v>
      </c>
    </row>
    <row r="269" spans="1:12" ht="14.25" customHeight="1">
      <c r="A269" s="10">
        <v>752</v>
      </c>
      <c r="B269" s="10" t="s">
        <v>2158</v>
      </c>
      <c r="C269" s="12" t="s">
        <v>141</v>
      </c>
      <c r="D269" s="10" t="s">
        <v>2196</v>
      </c>
      <c r="E269" s="10" t="s">
        <v>301</v>
      </c>
      <c r="F269" s="10" t="s">
        <v>2197</v>
      </c>
      <c r="G269" s="10" t="s">
        <v>2198</v>
      </c>
      <c r="H269" s="43" t="s">
        <v>2199</v>
      </c>
      <c r="I269" s="43" t="s">
        <v>2200</v>
      </c>
      <c r="J269" s="44">
        <v>1.5405092592592592E-2</v>
      </c>
      <c r="K269" s="45">
        <v>5.561307870370371E-2</v>
      </c>
      <c r="L269" s="12" t="s">
        <v>70</v>
      </c>
    </row>
    <row r="270" spans="1:12" ht="14.25" customHeight="1">
      <c r="A270" s="10">
        <v>653</v>
      </c>
      <c r="B270" s="10" t="s">
        <v>2158</v>
      </c>
      <c r="C270" s="12" t="s">
        <v>141</v>
      </c>
      <c r="D270" s="10" t="s">
        <v>2201</v>
      </c>
      <c r="E270" s="10" t="s">
        <v>908</v>
      </c>
      <c r="F270" s="10" t="s">
        <v>2202</v>
      </c>
      <c r="G270" s="10" t="s">
        <v>437</v>
      </c>
      <c r="H270" s="43" t="s">
        <v>2203</v>
      </c>
      <c r="I270" s="43" t="s">
        <v>2204</v>
      </c>
      <c r="J270" s="44">
        <v>1.7777777777777778E-2</v>
      </c>
      <c r="K270" s="45">
        <v>5.6314930555555552E-2</v>
      </c>
      <c r="L270" s="12" t="s">
        <v>79</v>
      </c>
    </row>
    <row r="271" spans="1:12" ht="14.25" customHeight="1">
      <c r="A271" s="10">
        <v>757</v>
      </c>
      <c r="B271" s="10" t="s">
        <v>2158</v>
      </c>
      <c r="C271" s="12" t="s">
        <v>141</v>
      </c>
      <c r="D271" s="10" t="s">
        <v>2206</v>
      </c>
      <c r="E271" s="10" t="s">
        <v>45</v>
      </c>
      <c r="F271" s="10" t="s">
        <v>2207</v>
      </c>
      <c r="G271" s="10" t="s">
        <v>2208</v>
      </c>
      <c r="H271" s="43" t="s">
        <v>2209</v>
      </c>
      <c r="I271" s="43" t="s">
        <v>2210</v>
      </c>
      <c r="J271" s="44">
        <v>1.8240740740740741E-2</v>
      </c>
      <c r="K271" s="45">
        <v>5.8499652777777779E-2</v>
      </c>
      <c r="L271" s="12" t="s">
        <v>90</v>
      </c>
    </row>
    <row r="272" spans="1:12" ht="14.25" customHeight="1">
      <c r="A272" s="10">
        <v>754</v>
      </c>
      <c r="B272" s="10" t="s">
        <v>2158</v>
      </c>
      <c r="C272" s="12" t="s">
        <v>141</v>
      </c>
      <c r="D272" s="10" t="s">
        <v>2211</v>
      </c>
      <c r="E272" s="10" t="s">
        <v>2039</v>
      </c>
      <c r="F272" s="10" t="s">
        <v>2212</v>
      </c>
      <c r="G272" s="10" t="s">
        <v>2213</v>
      </c>
      <c r="H272" s="43" t="s">
        <v>2214</v>
      </c>
      <c r="I272" s="43" t="s">
        <v>2215</v>
      </c>
      <c r="J272" s="44">
        <v>1.8657407407407407E-2</v>
      </c>
      <c r="K272" s="45">
        <v>6.3873263888888879E-2</v>
      </c>
      <c r="L272" s="12" t="s">
        <v>100</v>
      </c>
    </row>
    <row r="273" spans="1:12" ht="14.25" customHeight="1">
      <c r="A273" s="10">
        <v>753</v>
      </c>
      <c r="B273" s="10" t="s">
        <v>2158</v>
      </c>
      <c r="C273" s="12" t="s">
        <v>141</v>
      </c>
      <c r="D273" s="10" t="s">
        <v>2217</v>
      </c>
      <c r="E273" s="10" t="s">
        <v>334</v>
      </c>
      <c r="F273" s="10" t="s">
        <v>2218</v>
      </c>
      <c r="G273" s="10" t="s">
        <v>2219</v>
      </c>
      <c r="H273" s="43"/>
      <c r="I273" s="43"/>
      <c r="J273" s="47"/>
      <c r="K273" s="48"/>
      <c r="L273" s="12" t="s">
        <v>538</v>
      </c>
    </row>
    <row r="274" spans="1:12" ht="14.25" customHeight="1">
      <c r="A274" s="10">
        <v>755</v>
      </c>
      <c r="B274" s="10" t="s">
        <v>2158</v>
      </c>
      <c r="C274" s="12" t="s">
        <v>141</v>
      </c>
      <c r="D274" s="10" t="s">
        <v>2220</v>
      </c>
      <c r="E274" s="10" t="s">
        <v>72</v>
      </c>
      <c r="F274" s="10" t="s">
        <v>2221</v>
      </c>
      <c r="G274" s="10" t="s">
        <v>556</v>
      </c>
      <c r="H274" s="43"/>
      <c r="I274" s="43"/>
      <c r="J274" s="47"/>
      <c r="K274" s="48"/>
      <c r="L274" s="12" t="s">
        <v>557</v>
      </c>
    </row>
    <row r="275" spans="1:12" ht="14.25" customHeight="1">
      <c r="A275" s="10">
        <v>712</v>
      </c>
      <c r="B275" s="10" t="s">
        <v>2222</v>
      </c>
      <c r="C275" s="12" t="s">
        <v>23</v>
      </c>
      <c r="D275" s="10" t="s">
        <v>1094</v>
      </c>
      <c r="E275" s="10" t="s">
        <v>36</v>
      </c>
      <c r="F275" s="10" t="s">
        <v>2223</v>
      </c>
      <c r="G275" s="10" t="s">
        <v>2224</v>
      </c>
      <c r="H275" s="43" t="s">
        <v>2225</v>
      </c>
      <c r="I275" s="43" t="s">
        <v>2226</v>
      </c>
      <c r="J275" s="44">
        <v>1.6145833333333335E-2</v>
      </c>
      <c r="K275" s="45">
        <v>5.805833333333333E-2</v>
      </c>
      <c r="L275" s="12" t="s">
        <v>34</v>
      </c>
    </row>
    <row r="276" spans="1:12" ht="14.25" customHeight="1">
      <c r="A276" s="10">
        <v>761</v>
      </c>
      <c r="B276" s="10" t="s">
        <v>2222</v>
      </c>
      <c r="C276" s="12" t="s">
        <v>141</v>
      </c>
      <c r="D276" s="10" t="s">
        <v>1126</v>
      </c>
      <c r="E276" s="10" t="s">
        <v>45</v>
      </c>
      <c r="F276" s="10" t="s">
        <v>2228</v>
      </c>
      <c r="G276" s="10" t="s">
        <v>2229</v>
      </c>
      <c r="H276" s="43" t="s">
        <v>2230</v>
      </c>
      <c r="I276" s="43" t="s">
        <v>2231</v>
      </c>
      <c r="J276" s="44">
        <v>1.1307870370370371E-2</v>
      </c>
      <c r="K276" s="45">
        <v>4.1836689814814816E-2</v>
      </c>
      <c r="L276" s="12" t="s">
        <v>34</v>
      </c>
    </row>
    <row r="277" spans="1:12" ht="14.25" customHeight="1">
      <c r="A277" s="10">
        <v>763</v>
      </c>
      <c r="B277" s="10" t="s">
        <v>2222</v>
      </c>
      <c r="C277" s="12" t="s">
        <v>141</v>
      </c>
      <c r="D277" s="10" t="s">
        <v>1144</v>
      </c>
      <c r="E277" s="10" t="s">
        <v>301</v>
      </c>
      <c r="F277" s="10" t="s">
        <v>2232</v>
      </c>
      <c r="G277" s="10" t="s">
        <v>2233</v>
      </c>
      <c r="H277" s="43" t="s">
        <v>2234</v>
      </c>
      <c r="I277" s="43" t="s">
        <v>2235</v>
      </c>
      <c r="J277" s="44">
        <v>1.3460648148148149E-2</v>
      </c>
      <c r="K277" s="45">
        <v>4.9938194444444445E-2</v>
      </c>
      <c r="L277" s="12" t="s">
        <v>43</v>
      </c>
    </row>
    <row r="278" spans="1:12" ht="14.25" customHeight="1">
      <c r="A278" s="10">
        <v>762</v>
      </c>
      <c r="B278" s="10" t="s">
        <v>2222</v>
      </c>
      <c r="C278" s="12" t="s">
        <v>141</v>
      </c>
      <c r="D278" s="10" t="s">
        <v>1150</v>
      </c>
      <c r="E278" s="10" t="s">
        <v>36</v>
      </c>
      <c r="F278" s="10" t="s">
        <v>2236</v>
      </c>
      <c r="G278" s="10" t="s">
        <v>2237</v>
      </c>
      <c r="H278" s="43" t="s">
        <v>2238</v>
      </c>
      <c r="I278" s="43" t="s">
        <v>2239</v>
      </c>
      <c r="J278" s="44">
        <v>1.6898148148148148E-2</v>
      </c>
      <c r="K278" s="45">
        <v>6.0830787037037037E-2</v>
      </c>
      <c r="L278" s="12" t="s">
        <v>52</v>
      </c>
    </row>
    <row r="279" spans="1:12" ht="14.25" customHeight="1">
      <c r="A279" s="10">
        <v>764</v>
      </c>
      <c r="B279" s="10" t="s">
        <v>2222</v>
      </c>
      <c r="C279" s="12" t="s">
        <v>141</v>
      </c>
      <c r="D279" s="10" t="s">
        <v>2241</v>
      </c>
      <c r="E279" s="10" t="s">
        <v>908</v>
      </c>
      <c r="F279" s="10" t="s">
        <v>2242</v>
      </c>
      <c r="G279" s="10" t="s">
        <v>2243</v>
      </c>
      <c r="H279" s="43" t="s">
        <v>2244</v>
      </c>
      <c r="I279" s="43" t="s">
        <v>2245</v>
      </c>
      <c r="J279" s="44">
        <v>1.8738425925925926E-2</v>
      </c>
      <c r="K279" s="45">
        <v>6.3061689814814817E-2</v>
      </c>
      <c r="L279" s="12" t="s">
        <v>61</v>
      </c>
    </row>
    <row r="280" spans="1:12" ht="14.25" customHeight="1">
      <c r="A280" s="10">
        <v>760</v>
      </c>
      <c r="B280" s="10" t="s">
        <v>2222</v>
      </c>
      <c r="C280" s="12" t="s">
        <v>141</v>
      </c>
      <c r="D280" s="10" t="s">
        <v>2247</v>
      </c>
      <c r="E280" s="10" t="s">
        <v>36</v>
      </c>
      <c r="F280" s="10" t="s">
        <v>2248</v>
      </c>
      <c r="G280" s="10" t="s">
        <v>2249</v>
      </c>
      <c r="H280" s="43" t="s">
        <v>2250</v>
      </c>
      <c r="I280" s="43" t="s">
        <v>2251</v>
      </c>
      <c r="J280" s="44">
        <v>2.326388888888889E-2</v>
      </c>
      <c r="K280" s="45">
        <v>7.2877893518518519E-2</v>
      </c>
      <c r="L280" s="12" t="s">
        <v>70</v>
      </c>
    </row>
    <row r="281" spans="1:12" ht="14.25" customHeight="1">
      <c r="A281" s="10">
        <v>714</v>
      </c>
      <c r="B281" s="10" t="s">
        <v>2252</v>
      </c>
      <c r="C281" s="12" t="s">
        <v>23</v>
      </c>
      <c r="D281" s="10" t="s">
        <v>1187</v>
      </c>
      <c r="E281" s="10" t="s">
        <v>908</v>
      </c>
      <c r="F281" s="10" t="s">
        <v>2253</v>
      </c>
      <c r="G281" s="10" t="s">
        <v>2254</v>
      </c>
      <c r="H281" s="43" t="s">
        <v>2255</v>
      </c>
      <c r="I281" s="43" t="s">
        <v>2256</v>
      </c>
      <c r="J281" s="44">
        <v>1.7928240740740741E-2</v>
      </c>
      <c r="K281" s="45">
        <v>7.2258101851851858E-2</v>
      </c>
      <c r="L281" s="12" t="s">
        <v>34</v>
      </c>
    </row>
    <row r="282" spans="1:12" ht="14.25" customHeight="1">
      <c r="A282" s="10">
        <v>769</v>
      </c>
      <c r="B282" s="10" t="s">
        <v>2252</v>
      </c>
      <c r="C282" s="12" t="s">
        <v>141</v>
      </c>
      <c r="D282" s="10" t="s">
        <v>1215</v>
      </c>
      <c r="E282" s="10" t="s">
        <v>45</v>
      </c>
      <c r="F282" s="10" t="s">
        <v>2257</v>
      </c>
      <c r="G282" s="10" t="s">
        <v>2258</v>
      </c>
      <c r="H282" s="43" t="s">
        <v>2259</v>
      </c>
      <c r="I282" s="43" t="s">
        <v>2260</v>
      </c>
      <c r="J282" s="44">
        <v>1.1909722222222223E-2</v>
      </c>
      <c r="K282" s="45">
        <v>4.2439351851851853E-2</v>
      </c>
      <c r="L282" s="12" t="s">
        <v>34</v>
      </c>
    </row>
    <row r="283" spans="1:12" ht="14.25" customHeight="1">
      <c r="A283" s="10">
        <v>768</v>
      </c>
      <c r="B283" s="10" t="s">
        <v>2252</v>
      </c>
      <c r="C283" s="12" t="s">
        <v>141</v>
      </c>
      <c r="D283" s="10" t="s">
        <v>1231</v>
      </c>
      <c r="E283" s="10" t="s">
        <v>845</v>
      </c>
      <c r="F283" s="10" t="s">
        <v>2261</v>
      </c>
      <c r="G283" s="10" t="s">
        <v>2262</v>
      </c>
      <c r="H283" s="43" t="s">
        <v>2263</v>
      </c>
      <c r="I283" s="43" t="s">
        <v>2264</v>
      </c>
      <c r="J283" s="44">
        <v>1.5844907407407408E-2</v>
      </c>
      <c r="K283" s="45">
        <v>5.5102430555555561E-2</v>
      </c>
      <c r="L283" s="12" t="s">
        <v>43</v>
      </c>
    </row>
    <row r="284" spans="1:12" ht="14.25" customHeight="1">
      <c r="A284" s="10">
        <v>767</v>
      </c>
      <c r="B284" s="10" t="s">
        <v>2252</v>
      </c>
      <c r="C284" s="12" t="s">
        <v>141</v>
      </c>
      <c r="D284" s="10" t="s">
        <v>1243</v>
      </c>
      <c r="E284" s="10" t="s">
        <v>36</v>
      </c>
      <c r="F284" s="10" t="s">
        <v>2265</v>
      </c>
      <c r="G284" s="10" t="s">
        <v>2266</v>
      </c>
      <c r="H284" s="43" t="s">
        <v>2267</v>
      </c>
      <c r="I284" s="43" t="s">
        <v>2268</v>
      </c>
      <c r="J284" s="44">
        <v>1.8391203703703705E-2</v>
      </c>
      <c r="K284" s="45">
        <v>6.6019097222222226E-2</v>
      </c>
      <c r="L284" s="12" t="s">
        <v>52</v>
      </c>
    </row>
    <row r="285" spans="1:12" ht="14.25" customHeight="1">
      <c r="A285" s="10">
        <v>765</v>
      </c>
      <c r="B285" s="10" t="s">
        <v>2252</v>
      </c>
      <c r="C285" s="12" t="s">
        <v>141</v>
      </c>
      <c r="D285" s="10" t="s">
        <v>2269</v>
      </c>
      <c r="E285" s="10" t="s">
        <v>26</v>
      </c>
      <c r="F285" s="10" t="s">
        <v>2270</v>
      </c>
      <c r="G285" s="10" t="s">
        <v>2271</v>
      </c>
      <c r="H285" s="43" t="s">
        <v>2272</v>
      </c>
      <c r="I285" s="43" t="s">
        <v>2273</v>
      </c>
      <c r="J285" s="44">
        <v>1.7916666666666668E-2</v>
      </c>
      <c r="K285" s="45">
        <v>6.72974537037037E-2</v>
      </c>
      <c r="L285" s="12" t="s">
        <v>61</v>
      </c>
    </row>
    <row r="286" spans="1:12" ht="14.25" customHeight="1">
      <c r="A286" s="10">
        <v>774</v>
      </c>
      <c r="B286" s="10" t="s">
        <v>2252</v>
      </c>
      <c r="C286" s="12" t="s">
        <v>141</v>
      </c>
      <c r="D286" s="10" t="s">
        <v>2274</v>
      </c>
      <c r="E286" s="10" t="s">
        <v>194</v>
      </c>
      <c r="F286" s="10" t="s">
        <v>2275</v>
      </c>
      <c r="G286" s="10" t="s">
        <v>2276</v>
      </c>
      <c r="H286" s="43" t="s">
        <v>2277</v>
      </c>
      <c r="I286" s="43" t="s">
        <v>2278</v>
      </c>
      <c r="J286" s="44">
        <v>2.0555555555555556E-2</v>
      </c>
      <c r="K286" s="45">
        <v>6.9914236111111111E-2</v>
      </c>
      <c r="L286" s="12" t="s">
        <v>70</v>
      </c>
    </row>
    <row r="287" spans="1:12" ht="14.25" customHeight="1">
      <c r="A287" s="10">
        <v>773</v>
      </c>
      <c r="B287" s="10" t="s">
        <v>2252</v>
      </c>
      <c r="C287" s="12" t="s">
        <v>141</v>
      </c>
      <c r="D287" s="10" t="s">
        <v>2280</v>
      </c>
      <c r="E287" s="10" t="s">
        <v>36</v>
      </c>
      <c r="F287" s="10" t="s">
        <v>2281</v>
      </c>
      <c r="G287" s="10" t="s">
        <v>2282</v>
      </c>
      <c r="H287" s="43" t="s">
        <v>2283</v>
      </c>
      <c r="I287" s="43" t="s">
        <v>2284</v>
      </c>
      <c r="J287" s="44">
        <v>2.1006944444444446E-2</v>
      </c>
      <c r="K287" s="45">
        <v>7.178749999999999E-2</v>
      </c>
      <c r="L287" s="12" t="s">
        <v>79</v>
      </c>
    </row>
    <row r="288" spans="1:12" ht="14.25" customHeight="1">
      <c r="A288" s="10">
        <v>772</v>
      </c>
      <c r="B288" s="10" t="s">
        <v>2252</v>
      </c>
      <c r="C288" s="12" t="s">
        <v>141</v>
      </c>
      <c r="D288" s="10" t="s">
        <v>2285</v>
      </c>
      <c r="E288" s="10" t="s">
        <v>36</v>
      </c>
      <c r="F288" s="10" t="s">
        <v>2286</v>
      </c>
      <c r="G288" s="10" t="s">
        <v>2287</v>
      </c>
      <c r="H288" s="43" t="s">
        <v>2288</v>
      </c>
      <c r="I288" s="43" t="s">
        <v>2289</v>
      </c>
      <c r="J288" s="44">
        <v>2.3530092592592592E-2</v>
      </c>
      <c r="K288" s="45">
        <v>7.4439467592592595E-2</v>
      </c>
      <c r="L288" s="12" t="s">
        <v>90</v>
      </c>
    </row>
    <row r="289" spans="1:12" ht="14.25" customHeight="1">
      <c r="A289" s="10">
        <v>770</v>
      </c>
      <c r="B289" s="10" t="s">
        <v>2252</v>
      </c>
      <c r="C289" s="12" t="s">
        <v>141</v>
      </c>
      <c r="D289" s="10" t="s">
        <v>2290</v>
      </c>
      <c r="E289" s="10" t="s">
        <v>36</v>
      </c>
      <c r="F289" s="10" t="s">
        <v>2291</v>
      </c>
      <c r="G289" s="10" t="s">
        <v>2292</v>
      </c>
      <c r="H289" s="43" t="s">
        <v>2293</v>
      </c>
      <c r="I289" s="43" t="s">
        <v>2294</v>
      </c>
      <c r="J289" s="44">
        <v>2.9374999999999998E-2</v>
      </c>
      <c r="K289" s="45">
        <v>7.8656944444444446E-2</v>
      </c>
      <c r="L289" s="12" t="s">
        <v>100</v>
      </c>
    </row>
    <row r="290" spans="1:12" ht="14.25" customHeight="1">
      <c r="A290" s="10">
        <v>771</v>
      </c>
      <c r="B290" s="10" t="s">
        <v>2252</v>
      </c>
      <c r="C290" s="12" t="s">
        <v>141</v>
      </c>
      <c r="D290" s="10" t="s">
        <v>2295</v>
      </c>
      <c r="E290" s="10" t="s">
        <v>36</v>
      </c>
      <c r="F290" s="10" t="s">
        <v>2296</v>
      </c>
      <c r="G290" s="10" t="s">
        <v>2297</v>
      </c>
      <c r="H290" s="43"/>
      <c r="I290" s="43"/>
      <c r="J290" s="47"/>
      <c r="K290" s="45">
        <v>5.038865740740741E-2</v>
      </c>
      <c r="L290" s="12" t="s">
        <v>538</v>
      </c>
    </row>
    <row r="291" spans="1:12" ht="14.25" customHeight="1">
      <c r="A291" s="10">
        <v>780</v>
      </c>
      <c r="B291" s="10" t="s">
        <v>2299</v>
      </c>
      <c r="C291" s="12" t="s">
        <v>141</v>
      </c>
      <c r="D291" s="10" t="s">
        <v>1277</v>
      </c>
      <c r="E291" s="10" t="s">
        <v>45</v>
      </c>
      <c r="F291" s="10" t="s">
        <v>2300</v>
      </c>
      <c r="G291" s="10" t="s">
        <v>2301</v>
      </c>
      <c r="H291" s="43" t="s">
        <v>2302</v>
      </c>
      <c r="I291" s="43" t="s">
        <v>2303</v>
      </c>
      <c r="J291" s="44">
        <v>1.4953703703703703E-2</v>
      </c>
      <c r="K291" s="45">
        <v>5.4213078703703704E-2</v>
      </c>
      <c r="L291" s="12" t="s">
        <v>34</v>
      </c>
    </row>
    <row r="292" spans="1:12" ht="14.25" customHeight="1">
      <c r="A292" s="10">
        <v>779</v>
      </c>
      <c r="B292" s="10" t="s">
        <v>2299</v>
      </c>
      <c r="C292" s="12" t="s">
        <v>141</v>
      </c>
      <c r="D292" s="10" t="s">
        <v>1292</v>
      </c>
      <c r="E292" s="10" t="s">
        <v>908</v>
      </c>
      <c r="F292" s="10" t="s">
        <v>2304</v>
      </c>
      <c r="G292" s="10" t="s">
        <v>2305</v>
      </c>
      <c r="H292" s="43" t="s">
        <v>2306</v>
      </c>
      <c r="I292" s="43" t="s">
        <v>2307</v>
      </c>
      <c r="J292" s="44">
        <v>1.7916666666666668E-2</v>
      </c>
      <c r="K292" s="45">
        <v>5.7096064814814822E-2</v>
      </c>
      <c r="L292" s="12" t="s">
        <v>43</v>
      </c>
    </row>
    <row r="293" spans="1:12" ht="14.25" customHeight="1">
      <c r="A293" s="10">
        <v>776</v>
      </c>
      <c r="B293" s="10" t="s">
        <v>2299</v>
      </c>
      <c r="C293" s="12" t="s">
        <v>141</v>
      </c>
      <c r="D293" s="10" t="s">
        <v>1304</v>
      </c>
      <c r="E293" s="10" t="s">
        <v>194</v>
      </c>
      <c r="F293" s="10" t="s">
        <v>2308</v>
      </c>
      <c r="G293" s="10" t="s">
        <v>2309</v>
      </c>
      <c r="H293" s="43" t="s">
        <v>2310</v>
      </c>
      <c r="I293" s="43" t="s">
        <v>2311</v>
      </c>
      <c r="J293" s="44">
        <v>1.7789351851851851E-2</v>
      </c>
      <c r="K293" s="45">
        <v>6.0435416666666665E-2</v>
      </c>
      <c r="L293" s="12" t="s">
        <v>52</v>
      </c>
    </row>
    <row r="294" spans="1:12" ht="14.25" customHeight="1">
      <c r="A294" s="10">
        <v>775</v>
      </c>
      <c r="B294" s="10" t="s">
        <v>2299</v>
      </c>
      <c r="C294" s="12" t="s">
        <v>141</v>
      </c>
      <c r="D294" s="10" t="s">
        <v>2313</v>
      </c>
      <c r="E294" s="10" t="s">
        <v>36</v>
      </c>
      <c r="F294" s="10" t="s">
        <v>2314</v>
      </c>
      <c r="G294" s="10" t="s">
        <v>2315</v>
      </c>
      <c r="H294" s="43" t="s">
        <v>2316</v>
      </c>
      <c r="I294" s="43" t="s">
        <v>2317</v>
      </c>
      <c r="J294" s="44">
        <v>1.7824074074074076E-2</v>
      </c>
      <c r="K294" s="45">
        <v>6.548090277777778E-2</v>
      </c>
      <c r="L294" s="12" t="s">
        <v>61</v>
      </c>
    </row>
    <row r="295" spans="1:12" ht="14.25" customHeight="1">
      <c r="A295" s="10">
        <v>778</v>
      </c>
      <c r="B295" s="10" t="s">
        <v>2299</v>
      </c>
      <c r="C295" s="12" t="s">
        <v>141</v>
      </c>
      <c r="D295" s="10" t="s">
        <v>2318</v>
      </c>
      <c r="E295" s="10" t="s">
        <v>908</v>
      </c>
      <c r="F295" s="10" t="s">
        <v>2319</v>
      </c>
      <c r="G295" s="10" t="s">
        <v>2320</v>
      </c>
      <c r="H295" s="43" t="s">
        <v>2321</v>
      </c>
      <c r="I295" s="43" t="s">
        <v>2322</v>
      </c>
      <c r="J295" s="44">
        <v>1.8287037037037036E-2</v>
      </c>
      <c r="K295" s="45">
        <v>6.5947453703703696E-2</v>
      </c>
      <c r="L295" s="12" t="s">
        <v>70</v>
      </c>
    </row>
    <row r="296" spans="1:12" ht="14.25" customHeight="1">
      <c r="A296" s="10">
        <v>781</v>
      </c>
      <c r="B296" s="10" t="s">
        <v>2299</v>
      </c>
      <c r="C296" s="12" t="s">
        <v>141</v>
      </c>
      <c r="D296" s="10" t="s">
        <v>2323</v>
      </c>
      <c r="E296" s="10" t="s">
        <v>36</v>
      </c>
      <c r="F296" s="10" t="s">
        <v>2324</v>
      </c>
      <c r="G296" s="10" t="s">
        <v>2325</v>
      </c>
      <c r="H296" s="43" t="s">
        <v>2326</v>
      </c>
      <c r="I296" s="43" t="s">
        <v>2327</v>
      </c>
      <c r="J296" s="44">
        <v>2.0752314814814814E-2</v>
      </c>
      <c r="K296" s="45">
        <v>6.9199884259259256E-2</v>
      </c>
      <c r="L296" s="12" t="s">
        <v>79</v>
      </c>
    </row>
    <row r="297" spans="1:12" ht="14.25" customHeight="1">
      <c r="A297" s="10">
        <v>782</v>
      </c>
      <c r="B297" s="10" t="s">
        <v>2299</v>
      </c>
      <c r="C297" s="12" t="s">
        <v>141</v>
      </c>
      <c r="D297" s="10" t="s">
        <v>2328</v>
      </c>
      <c r="E297" s="10" t="s">
        <v>36</v>
      </c>
      <c r="F297" s="10" t="s">
        <v>2329</v>
      </c>
      <c r="G297" s="10" t="s">
        <v>2330</v>
      </c>
      <c r="H297" s="43" t="s">
        <v>2331</v>
      </c>
      <c r="I297" s="43" t="s">
        <v>2332</v>
      </c>
      <c r="J297" s="44">
        <v>2.1770833333333333E-2</v>
      </c>
      <c r="K297" s="45">
        <v>7.7035300925925934E-2</v>
      </c>
      <c r="L297" s="12" t="s">
        <v>90</v>
      </c>
    </row>
    <row r="298" spans="1:12" ht="14.25" customHeight="1">
      <c r="A298" s="10">
        <v>716</v>
      </c>
      <c r="B298" s="10" t="s">
        <v>2334</v>
      </c>
      <c r="C298" s="12" t="s">
        <v>23</v>
      </c>
      <c r="D298" s="10" t="s">
        <v>2335</v>
      </c>
      <c r="E298" s="10" t="s">
        <v>72</v>
      </c>
      <c r="F298" s="10" t="s">
        <v>2336</v>
      </c>
      <c r="G298" s="10" t="s">
        <v>2337</v>
      </c>
      <c r="H298" s="43" t="s">
        <v>2338</v>
      </c>
      <c r="I298" s="43" t="s">
        <v>2339</v>
      </c>
      <c r="J298" s="44">
        <v>1.7916666666666668E-2</v>
      </c>
      <c r="K298" s="45">
        <v>5.9321412037037037E-2</v>
      </c>
      <c r="L298" s="12" t="s">
        <v>538</v>
      </c>
    </row>
    <row r="299" spans="1:12" ht="14.25" customHeight="1">
      <c r="A299" s="10">
        <v>784</v>
      </c>
      <c r="B299" s="10" t="s">
        <v>2334</v>
      </c>
      <c r="C299" s="12" t="s">
        <v>141</v>
      </c>
      <c r="D299" s="10" t="s">
        <v>1334</v>
      </c>
      <c r="E299" s="10" t="s">
        <v>36</v>
      </c>
      <c r="F299" s="10" t="s">
        <v>2340</v>
      </c>
      <c r="G299" s="10" t="s">
        <v>2341</v>
      </c>
      <c r="H299" s="43" t="s">
        <v>2342</v>
      </c>
      <c r="I299" s="43" t="s">
        <v>2343</v>
      </c>
      <c r="J299" s="44">
        <v>1.2592592592592593E-2</v>
      </c>
      <c r="K299" s="45">
        <v>4.968969907407407E-2</v>
      </c>
      <c r="L299" s="12" t="s">
        <v>34</v>
      </c>
    </row>
    <row r="300" spans="1:12" ht="14.25" customHeight="1">
      <c r="A300" s="10">
        <v>783</v>
      </c>
      <c r="B300" s="10" t="s">
        <v>2334</v>
      </c>
      <c r="C300" s="12" t="s">
        <v>141</v>
      </c>
      <c r="D300" s="10" t="s">
        <v>1344</v>
      </c>
      <c r="E300" s="10" t="s">
        <v>72</v>
      </c>
      <c r="F300" s="10" t="s">
        <v>2345</v>
      </c>
      <c r="G300" s="10" t="s">
        <v>2346</v>
      </c>
      <c r="H300" s="43" t="s">
        <v>2347</v>
      </c>
      <c r="I300" s="43" t="s">
        <v>2348</v>
      </c>
      <c r="J300" s="44">
        <v>1.5023148148148148E-2</v>
      </c>
      <c r="K300" s="45">
        <v>6.2137615740740733E-2</v>
      </c>
      <c r="L300" s="12" t="s">
        <v>43</v>
      </c>
    </row>
    <row r="301" spans="1:12" ht="14.25" customHeight="1">
      <c r="A301" s="10">
        <v>785</v>
      </c>
      <c r="B301" s="10" t="s">
        <v>2334</v>
      </c>
      <c r="C301" s="12" t="s">
        <v>141</v>
      </c>
      <c r="D301" s="10" t="s">
        <v>1355</v>
      </c>
      <c r="E301" s="10" t="s">
        <v>624</v>
      </c>
      <c r="F301" s="10" t="s">
        <v>2350</v>
      </c>
      <c r="G301" s="10" t="s">
        <v>2351</v>
      </c>
      <c r="H301" s="43" t="s">
        <v>2352</v>
      </c>
      <c r="I301" s="43" t="s">
        <v>2353</v>
      </c>
      <c r="J301" s="44">
        <v>2.5185185185185185E-2</v>
      </c>
      <c r="K301" s="45">
        <v>7.1381944444444442E-2</v>
      </c>
      <c r="L301" s="12" t="s">
        <v>52</v>
      </c>
    </row>
    <row r="302" spans="1:12" ht="14.25" customHeight="1">
      <c r="A302" s="10">
        <v>789</v>
      </c>
      <c r="B302" s="10" t="s">
        <v>2354</v>
      </c>
      <c r="C302" s="12" t="s">
        <v>141</v>
      </c>
      <c r="D302" s="10" t="s">
        <v>1382</v>
      </c>
      <c r="E302" s="10" t="s">
        <v>194</v>
      </c>
      <c r="F302" s="10" t="s">
        <v>2355</v>
      </c>
      <c r="G302" s="10" t="s">
        <v>2356</v>
      </c>
      <c r="H302" s="43" t="s">
        <v>2357</v>
      </c>
      <c r="I302" s="43" t="s">
        <v>2358</v>
      </c>
      <c r="J302" s="44">
        <v>2.0671296296296295E-2</v>
      </c>
      <c r="K302" s="45">
        <v>6.6896064814814818E-2</v>
      </c>
      <c r="L302" s="12" t="s">
        <v>34</v>
      </c>
    </row>
    <row r="303" spans="1:12" ht="14.25" customHeight="1">
      <c r="A303" s="10">
        <v>788</v>
      </c>
      <c r="B303" s="10" t="s">
        <v>2354</v>
      </c>
      <c r="C303" s="12" t="s">
        <v>141</v>
      </c>
      <c r="D303" s="10" t="s">
        <v>1399</v>
      </c>
      <c r="E303" s="10" t="s">
        <v>36</v>
      </c>
      <c r="F303" s="10" t="s">
        <v>2359</v>
      </c>
      <c r="G303" s="10" t="s">
        <v>2048</v>
      </c>
      <c r="H303" s="43" t="s">
        <v>2360</v>
      </c>
      <c r="I303" s="43" t="s">
        <v>2361</v>
      </c>
      <c r="J303" s="44">
        <v>2.1203703703703704E-2</v>
      </c>
      <c r="K303" s="45">
        <v>6.8813425925925917E-2</v>
      </c>
      <c r="L303" s="12" t="s">
        <v>43</v>
      </c>
    </row>
    <row r="304" spans="1:12" ht="14.25" customHeight="1">
      <c r="A304" s="10">
        <v>790</v>
      </c>
      <c r="B304" s="10" t="s">
        <v>2362</v>
      </c>
      <c r="C304" s="12" t="s">
        <v>141</v>
      </c>
      <c r="D304" s="10" t="s">
        <v>1428</v>
      </c>
      <c r="E304" s="10" t="s">
        <v>908</v>
      </c>
      <c r="F304" s="10" t="s">
        <v>2363</v>
      </c>
      <c r="G304" s="10" t="s">
        <v>2364</v>
      </c>
      <c r="H304" s="43" t="s">
        <v>2366</v>
      </c>
      <c r="I304" s="43" t="s">
        <v>2367</v>
      </c>
      <c r="J304" s="44">
        <v>1.7118055555555556E-2</v>
      </c>
      <c r="K304" s="45">
        <v>6.1019907407407405E-2</v>
      </c>
      <c r="L304" s="12" t="s">
        <v>34</v>
      </c>
    </row>
    <row r="305" spans="1:12" ht="14.25" customHeight="1">
      <c r="A305" s="10">
        <v>792</v>
      </c>
      <c r="B305" s="10" t="s">
        <v>2362</v>
      </c>
      <c r="C305" s="12" t="s">
        <v>141</v>
      </c>
      <c r="D305" s="10" t="s">
        <v>1442</v>
      </c>
      <c r="E305" s="10" t="s">
        <v>36</v>
      </c>
      <c r="F305" s="10" t="s">
        <v>2368</v>
      </c>
      <c r="G305" s="10" t="s">
        <v>2369</v>
      </c>
      <c r="H305" s="43" t="s">
        <v>2370</v>
      </c>
      <c r="I305" s="43" t="s">
        <v>2371</v>
      </c>
      <c r="J305" s="44">
        <v>1.8738425925925926E-2</v>
      </c>
      <c r="K305" s="45">
        <v>6.4304513888888887E-2</v>
      </c>
      <c r="L305" s="12" t="s">
        <v>43</v>
      </c>
    </row>
    <row r="306" spans="1:12" ht="14.25" customHeight="1">
      <c r="A306" s="10">
        <v>793</v>
      </c>
      <c r="B306" s="10" t="s">
        <v>2372</v>
      </c>
      <c r="C306" s="12" t="s">
        <v>141</v>
      </c>
      <c r="D306" s="10" t="s">
        <v>1468</v>
      </c>
      <c r="E306" s="10" t="s">
        <v>36</v>
      </c>
      <c r="F306" s="10" t="s">
        <v>2373</v>
      </c>
      <c r="G306" s="10" t="s">
        <v>2026</v>
      </c>
      <c r="H306" s="43" t="s">
        <v>2374</v>
      </c>
      <c r="I306" s="43" t="s">
        <v>2375</v>
      </c>
      <c r="J306" s="44">
        <v>1.7002314814814814E-2</v>
      </c>
      <c r="K306" s="45">
        <v>5.8032291666666666E-2</v>
      </c>
      <c r="L306" s="12" t="s">
        <v>34</v>
      </c>
    </row>
    <row r="307" spans="1:12" ht="14.25" customHeight="1">
      <c r="A307" s="10">
        <v>604</v>
      </c>
      <c r="B307" s="10" t="s">
        <v>1543</v>
      </c>
      <c r="C307" s="12" t="s">
        <v>23</v>
      </c>
      <c r="D307" s="10" t="s">
        <v>1548</v>
      </c>
      <c r="E307" s="10" t="s">
        <v>155</v>
      </c>
      <c r="F307" s="10" t="s">
        <v>2377</v>
      </c>
      <c r="G307" s="10" t="s">
        <v>2378</v>
      </c>
      <c r="H307" s="43" t="s">
        <v>2379</v>
      </c>
      <c r="I307" s="43" t="s">
        <v>2380</v>
      </c>
      <c r="J307" s="44">
        <v>1.2372685185185184E-2</v>
      </c>
      <c r="K307" s="45">
        <v>4.4155555555555552E-2</v>
      </c>
      <c r="L307" s="12" t="s">
        <v>34</v>
      </c>
    </row>
    <row r="308" spans="1:12" ht="14.25" customHeight="1">
      <c r="A308" s="10">
        <v>602</v>
      </c>
      <c r="B308" s="10" t="s">
        <v>1543</v>
      </c>
      <c r="C308" s="12" t="s">
        <v>23</v>
      </c>
      <c r="D308" s="10" t="s">
        <v>1592</v>
      </c>
      <c r="E308" s="10" t="s">
        <v>36</v>
      </c>
      <c r="F308" s="10" t="s">
        <v>2381</v>
      </c>
      <c r="G308" s="10" t="s">
        <v>2382</v>
      </c>
      <c r="H308" s="43" t="s">
        <v>2383</v>
      </c>
      <c r="I308" s="43" t="s">
        <v>2384</v>
      </c>
      <c r="J308" s="44">
        <v>1.2858796296296297E-2</v>
      </c>
      <c r="K308" s="45">
        <v>4.4643171296296295E-2</v>
      </c>
      <c r="L308" s="12" t="s">
        <v>43</v>
      </c>
    </row>
    <row r="309" spans="1:12" ht="14.25" customHeight="1">
      <c r="A309" s="10">
        <v>605</v>
      </c>
      <c r="B309" s="10" t="s">
        <v>1543</v>
      </c>
      <c r="C309" s="12" t="s">
        <v>23</v>
      </c>
      <c r="D309" s="10" t="s">
        <v>1611</v>
      </c>
      <c r="E309" s="10" t="s">
        <v>36</v>
      </c>
      <c r="F309" s="10" t="s">
        <v>2387</v>
      </c>
      <c r="G309" s="10" t="s">
        <v>2388</v>
      </c>
      <c r="H309" s="43" t="s">
        <v>2389</v>
      </c>
      <c r="I309" s="43" t="s">
        <v>2390</v>
      </c>
      <c r="J309" s="44">
        <v>1.3252314814814814E-2</v>
      </c>
      <c r="K309" s="45">
        <v>4.5600115740740743E-2</v>
      </c>
      <c r="L309" s="12" t="s">
        <v>52</v>
      </c>
    </row>
    <row r="310" spans="1:12" ht="14.25" customHeight="1">
      <c r="A310" s="10">
        <v>600</v>
      </c>
      <c r="B310" s="10" t="s">
        <v>1543</v>
      </c>
      <c r="C310" s="12" t="s">
        <v>23</v>
      </c>
      <c r="D310" s="10" t="s">
        <v>2391</v>
      </c>
      <c r="E310" s="10" t="s">
        <v>26</v>
      </c>
      <c r="F310" s="10" t="s">
        <v>2392</v>
      </c>
      <c r="G310" s="10" t="s">
        <v>1978</v>
      </c>
      <c r="H310" s="43" t="s">
        <v>2393</v>
      </c>
      <c r="I310" s="43" t="s">
        <v>2394</v>
      </c>
      <c r="J310" s="44">
        <v>1.3356481481481481E-2</v>
      </c>
      <c r="K310" s="45">
        <v>4.7572106481481476E-2</v>
      </c>
      <c r="L310" s="12" t="s">
        <v>61</v>
      </c>
    </row>
    <row r="311" spans="1:12" ht="14.25" customHeight="1">
      <c r="A311" s="10">
        <v>609</v>
      </c>
      <c r="B311" s="10" t="s">
        <v>1543</v>
      </c>
      <c r="C311" s="12" t="s">
        <v>23</v>
      </c>
      <c r="D311" s="10" t="s">
        <v>2395</v>
      </c>
      <c r="E311" s="10" t="s">
        <v>26</v>
      </c>
      <c r="F311" s="10" t="s">
        <v>2396</v>
      </c>
      <c r="G311" s="10" t="s">
        <v>2397</v>
      </c>
      <c r="H311" s="43" t="s">
        <v>2398</v>
      </c>
      <c r="I311" s="43" t="s">
        <v>2400</v>
      </c>
      <c r="J311" s="44">
        <v>1.3553240740740741E-2</v>
      </c>
      <c r="K311" s="45">
        <v>4.8929861111111111E-2</v>
      </c>
      <c r="L311" s="12" t="s">
        <v>70</v>
      </c>
    </row>
    <row r="312" spans="1:12" ht="14.25" customHeight="1">
      <c r="A312" s="10">
        <v>612</v>
      </c>
      <c r="B312" s="10" t="s">
        <v>1543</v>
      </c>
      <c r="C312" s="12" t="s">
        <v>23</v>
      </c>
      <c r="D312" s="10" t="s">
        <v>2401</v>
      </c>
      <c r="E312" s="10" t="s">
        <v>36</v>
      </c>
      <c r="F312" s="10" t="s">
        <v>2402</v>
      </c>
      <c r="G312" s="10" t="s">
        <v>2403</v>
      </c>
      <c r="H312" s="43" t="s">
        <v>2404</v>
      </c>
      <c r="I312" s="43" t="s">
        <v>2405</v>
      </c>
      <c r="J312" s="44">
        <v>1.4143518518518519E-2</v>
      </c>
      <c r="K312" s="45">
        <v>4.9013310185185184E-2</v>
      </c>
      <c r="L312" s="12" t="s">
        <v>79</v>
      </c>
    </row>
    <row r="313" spans="1:12" ht="14.25" customHeight="1">
      <c r="A313" s="10">
        <v>601</v>
      </c>
      <c r="B313" s="10" t="s">
        <v>1543</v>
      </c>
      <c r="C313" s="12" t="s">
        <v>23</v>
      </c>
      <c r="D313" s="10" t="s">
        <v>2406</v>
      </c>
      <c r="E313" s="10" t="s">
        <v>155</v>
      </c>
      <c r="F313" s="10" t="s">
        <v>2407</v>
      </c>
      <c r="G313" s="10" t="s">
        <v>2408</v>
      </c>
      <c r="H313" s="43" t="s">
        <v>2409</v>
      </c>
      <c r="I313" s="43" t="s">
        <v>2410</v>
      </c>
      <c r="J313" s="44">
        <v>1.6782407407407409E-2</v>
      </c>
      <c r="K313" s="45">
        <v>5.2804629629629625E-2</v>
      </c>
      <c r="L313" s="12" t="s">
        <v>90</v>
      </c>
    </row>
    <row r="314" spans="1:12" ht="14.25" customHeight="1">
      <c r="A314" s="10">
        <v>608</v>
      </c>
      <c r="B314" s="10" t="s">
        <v>1543</v>
      </c>
      <c r="C314" s="12" t="s">
        <v>23</v>
      </c>
      <c r="D314" s="10" t="s">
        <v>2411</v>
      </c>
      <c r="E314" s="10" t="s">
        <v>45</v>
      </c>
      <c r="F314" s="10" t="s">
        <v>2412</v>
      </c>
      <c r="G314" s="10" t="s">
        <v>2268</v>
      </c>
      <c r="H314" s="43" t="s">
        <v>2413</v>
      </c>
      <c r="I314" s="43" t="s">
        <v>2414</v>
      </c>
      <c r="J314" s="44">
        <v>1.804398148148148E-2</v>
      </c>
      <c r="K314" s="45">
        <v>5.4982754629629635E-2</v>
      </c>
      <c r="L314" s="12" t="s">
        <v>100</v>
      </c>
    </row>
    <row r="315" spans="1:12" ht="14.25" customHeight="1">
      <c r="A315" s="10">
        <v>610</v>
      </c>
      <c r="B315" s="10" t="s">
        <v>1543</v>
      </c>
      <c r="C315" s="12" t="s">
        <v>23</v>
      </c>
      <c r="D315" s="10" t="s">
        <v>2415</v>
      </c>
      <c r="E315" s="10" t="s">
        <v>2416</v>
      </c>
      <c r="F315" s="10" t="s">
        <v>2417</v>
      </c>
      <c r="G315" s="10" t="s">
        <v>2418</v>
      </c>
      <c r="H315" s="43" t="s">
        <v>2419</v>
      </c>
      <c r="I315" s="43" t="s">
        <v>2420</v>
      </c>
      <c r="J315" s="44">
        <v>1.7407407407407406E-2</v>
      </c>
      <c r="K315" s="45">
        <v>6.4761111111111103E-2</v>
      </c>
      <c r="L315" s="12" t="s">
        <v>109</v>
      </c>
    </row>
    <row r="316" spans="1:12" ht="14.25" customHeight="1">
      <c r="A316" s="10">
        <v>606</v>
      </c>
      <c r="B316" s="10" t="s">
        <v>1543</v>
      </c>
      <c r="C316" s="12" t="s">
        <v>23</v>
      </c>
      <c r="D316" s="10" t="s">
        <v>2421</v>
      </c>
      <c r="E316" s="10" t="s">
        <v>337</v>
      </c>
      <c r="F316" s="10" t="s">
        <v>2422</v>
      </c>
      <c r="G316" s="10" t="s">
        <v>2423</v>
      </c>
      <c r="H316" s="43" t="s">
        <v>2424</v>
      </c>
      <c r="I316" s="43" t="s">
        <v>2070</v>
      </c>
      <c r="J316" s="44">
        <v>2.0578703703703703E-2</v>
      </c>
      <c r="K316" s="45">
        <v>6.9859953703703695E-2</v>
      </c>
      <c r="L316" s="12" t="s">
        <v>120</v>
      </c>
    </row>
    <row r="317" spans="1:12" ht="14.25" customHeight="1">
      <c r="A317" s="10">
        <v>607</v>
      </c>
      <c r="B317" s="10" t="s">
        <v>1543</v>
      </c>
      <c r="C317" s="12" t="s">
        <v>23</v>
      </c>
      <c r="D317" s="10" t="s">
        <v>2426</v>
      </c>
      <c r="E317" s="10" t="s">
        <v>798</v>
      </c>
      <c r="F317" s="10" t="s">
        <v>2427</v>
      </c>
      <c r="G317" s="10" t="s">
        <v>2428</v>
      </c>
      <c r="H317" s="43" t="s">
        <v>2429</v>
      </c>
      <c r="I317" s="43" t="s">
        <v>2430</v>
      </c>
      <c r="J317" s="44">
        <v>2.2060185185185186E-2</v>
      </c>
      <c r="K317" s="45">
        <v>7.1299421296296295E-2</v>
      </c>
      <c r="L317" s="12" t="s">
        <v>128</v>
      </c>
    </row>
    <row r="318" spans="1:12" ht="14.25" customHeight="1">
      <c r="A318" s="10">
        <v>613</v>
      </c>
      <c r="B318" s="10" t="s">
        <v>1543</v>
      </c>
      <c r="C318" s="12" t="s">
        <v>23</v>
      </c>
      <c r="D318" s="10" t="s">
        <v>2431</v>
      </c>
      <c r="E318" s="10" t="s">
        <v>2432</v>
      </c>
      <c r="F318" s="10" t="s">
        <v>2433</v>
      </c>
      <c r="G318" s="10" t="s">
        <v>2434</v>
      </c>
      <c r="H318" s="43" t="s">
        <v>2435</v>
      </c>
      <c r="I318" s="43" t="s">
        <v>2436</v>
      </c>
      <c r="J318" s="44">
        <v>3.2847222222222222E-2</v>
      </c>
      <c r="K318" s="45">
        <v>7.947210648148148E-2</v>
      </c>
      <c r="L318" s="12" t="s">
        <v>140</v>
      </c>
    </row>
    <row r="319" spans="1:12" ht="14.25" customHeight="1">
      <c r="A319" s="10">
        <v>603</v>
      </c>
      <c r="B319" s="10" t="s">
        <v>1543</v>
      </c>
      <c r="C319" s="12" t="s">
        <v>23</v>
      </c>
      <c r="D319" s="10" t="s">
        <v>2438</v>
      </c>
      <c r="E319" s="10" t="s">
        <v>337</v>
      </c>
      <c r="F319" s="10" t="s">
        <v>2439</v>
      </c>
      <c r="G319" s="10" t="s">
        <v>2440</v>
      </c>
      <c r="H319" s="43" t="s">
        <v>2441</v>
      </c>
      <c r="I319" s="43" t="s">
        <v>2442</v>
      </c>
      <c r="J319" s="44">
        <v>2.5358796296296296E-2</v>
      </c>
      <c r="K319" s="45">
        <v>7.960150462962963E-2</v>
      </c>
      <c r="L319" s="12" t="s">
        <v>284</v>
      </c>
    </row>
    <row r="320" spans="1:12" ht="14.25" customHeight="1">
      <c r="A320" s="10">
        <v>611</v>
      </c>
      <c r="B320" s="10" t="s">
        <v>1543</v>
      </c>
      <c r="C320" s="12" t="s">
        <v>23</v>
      </c>
      <c r="D320" s="10" t="s">
        <v>2443</v>
      </c>
      <c r="E320" s="10" t="s">
        <v>2416</v>
      </c>
      <c r="F320" s="10" t="s">
        <v>2444</v>
      </c>
      <c r="G320" s="10" t="s">
        <v>556</v>
      </c>
      <c r="H320" s="43"/>
      <c r="I320" s="43"/>
      <c r="J320" s="47"/>
      <c r="K320" s="48"/>
      <c r="L320" s="12" t="s">
        <v>557</v>
      </c>
    </row>
    <row r="321" spans="1:12" ht="14.25" customHeight="1">
      <c r="A321" s="10">
        <v>631</v>
      </c>
      <c r="B321" s="10" t="s">
        <v>1543</v>
      </c>
      <c r="C321" s="12" t="s">
        <v>141</v>
      </c>
      <c r="D321" s="10" t="s">
        <v>1646</v>
      </c>
      <c r="E321" s="10" t="s">
        <v>72</v>
      </c>
      <c r="F321" s="10" t="s">
        <v>2445</v>
      </c>
      <c r="G321" s="10" t="s">
        <v>2446</v>
      </c>
      <c r="H321" s="43" t="s">
        <v>2447</v>
      </c>
      <c r="I321" s="43" t="s">
        <v>2448</v>
      </c>
      <c r="J321" s="44">
        <v>1.0972222222222222E-2</v>
      </c>
      <c r="K321" s="48" t="s">
        <v>1647</v>
      </c>
      <c r="L321" s="12" t="s">
        <v>34</v>
      </c>
    </row>
    <row r="322" spans="1:12" ht="14.25" customHeight="1">
      <c r="A322" s="10">
        <v>617</v>
      </c>
      <c r="B322" s="10" t="s">
        <v>1543</v>
      </c>
      <c r="C322" s="12" t="s">
        <v>141</v>
      </c>
      <c r="D322" s="10" t="s">
        <v>1663</v>
      </c>
      <c r="E322" s="10" t="s">
        <v>183</v>
      </c>
      <c r="F322" s="10" t="s">
        <v>2449</v>
      </c>
      <c r="G322" s="10" t="s">
        <v>2450</v>
      </c>
      <c r="H322" s="43" t="s">
        <v>2451</v>
      </c>
      <c r="I322" s="43" t="s">
        <v>2452</v>
      </c>
      <c r="J322" s="44">
        <v>1.0972222222222222E-2</v>
      </c>
      <c r="K322" s="48" t="s">
        <v>1667</v>
      </c>
      <c r="L322" s="12" t="s">
        <v>43</v>
      </c>
    </row>
    <row r="323" spans="1:12" ht="14.25" customHeight="1">
      <c r="A323" s="10">
        <v>642</v>
      </c>
      <c r="B323" s="10" t="s">
        <v>1543</v>
      </c>
      <c r="C323" s="12" t="s">
        <v>141</v>
      </c>
      <c r="D323" s="10" t="s">
        <v>1680</v>
      </c>
      <c r="E323" s="10" t="s">
        <v>45</v>
      </c>
      <c r="F323" s="10" t="s">
        <v>2453</v>
      </c>
      <c r="G323" s="10" t="s">
        <v>2454</v>
      </c>
      <c r="H323" s="43" t="s">
        <v>2455</v>
      </c>
      <c r="I323" s="43" t="s">
        <v>2456</v>
      </c>
      <c r="J323" s="44">
        <v>1.074074074074074E-2</v>
      </c>
      <c r="K323" s="48" t="s">
        <v>1681</v>
      </c>
      <c r="L323" s="12" t="s">
        <v>52</v>
      </c>
    </row>
    <row r="324" spans="1:12" ht="14.25" customHeight="1">
      <c r="A324" s="10">
        <v>629</v>
      </c>
      <c r="B324" s="10" t="s">
        <v>1543</v>
      </c>
      <c r="C324" s="12" t="s">
        <v>141</v>
      </c>
      <c r="D324" s="10" t="s">
        <v>2457</v>
      </c>
      <c r="E324" s="10" t="s">
        <v>183</v>
      </c>
      <c r="F324" s="10" t="s">
        <v>2458</v>
      </c>
      <c r="G324" s="10" t="s">
        <v>2459</v>
      </c>
      <c r="H324" s="43" t="s">
        <v>2460</v>
      </c>
      <c r="I324" s="43" t="s">
        <v>2461</v>
      </c>
      <c r="J324" s="44">
        <v>1.1782407407407408E-2</v>
      </c>
      <c r="K324" s="48" t="s">
        <v>2462</v>
      </c>
      <c r="L324" s="12" t="s">
        <v>61</v>
      </c>
    </row>
    <row r="325" spans="1:12" ht="14.25" customHeight="1">
      <c r="A325" s="10">
        <v>621</v>
      </c>
      <c r="B325" s="10" t="s">
        <v>1543</v>
      </c>
      <c r="C325" s="12" t="s">
        <v>141</v>
      </c>
      <c r="D325" s="10" t="s">
        <v>2463</v>
      </c>
      <c r="E325" s="10" t="s">
        <v>798</v>
      </c>
      <c r="F325" s="10" t="s">
        <v>2464</v>
      </c>
      <c r="G325" s="10" t="s">
        <v>2465</v>
      </c>
      <c r="H325" s="43" t="s">
        <v>2466</v>
      </c>
      <c r="I325" s="43" t="s">
        <v>2467</v>
      </c>
      <c r="J325" s="44">
        <v>1.1770833333333333E-2</v>
      </c>
      <c r="K325" s="45">
        <v>4.1889004629629627E-2</v>
      </c>
      <c r="L325" s="12" t="s">
        <v>70</v>
      </c>
    </row>
    <row r="326" spans="1:12" ht="14.25" customHeight="1">
      <c r="A326" s="10">
        <v>651</v>
      </c>
      <c r="B326" s="10" t="s">
        <v>1543</v>
      </c>
      <c r="C326" s="12" t="s">
        <v>141</v>
      </c>
      <c r="D326" s="10" t="s">
        <v>2469</v>
      </c>
      <c r="E326" s="10" t="s">
        <v>183</v>
      </c>
      <c r="F326" s="10" t="s">
        <v>2470</v>
      </c>
      <c r="G326" s="10" t="s">
        <v>2378</v>
      </c>
      <c r="H326" s="43" t="s">
        <v>2472</v>
      </c>
      <c r="I326" s="43" t="s">
        <v>2473</v>
      </c>
      <c r="J326" s="44">
        <v>1.193287037037037E-2</v>
      </c>
      <c r="K326" s="45">
        <v>4.2677314814814814E-2</v>
      </c>
      <c r="L326" s="12" t="s">
        <v>79</v>
      </c>
    </row>
    <row r="327" spans="1:12" ht="14.25" customHeight="1">
      <c r="A327" s="10">
        <v>636</v>
      </c>
      <c r="B327" s="10" t="s">
        <v>1543</v>
      </c>
      <c r="C327" s="12" t="s">
        <v>141</v>
      </c>
      <c r="D327" s="10" t="s">
        <v>2474</v>
      </c>
      <c r="E327" s="10" t="s">
        <v>36</v>
      </c>
      <c r="F327" s="10" t="s">
        <v>2475</v>
      </c>
      <c r="G327" s="10" t="s">
        <v>2476</v>
      </c>
      <c r="H327" s="43" t="s">
        <v>2477</v>
      </c>
      <c r="I327" s="43" t="s">
        <v>2478</v>
      </c>
      <c r="J327" s="44">
        <v>1.2430555555555556E-2</v>
      </c>
      <c r="K327" s="45">
        <v>4.3218402777777783E-2</v>
      </c>
      <c r="L327" s="12" t="s">
        <v>90</v>
      </c>
    </row>
    <row r="328" spans="1:12" ht="14.25" customHeight="1">
      <c r="A328" s="10">
        <v>622</v>
      </c>
      <c r="B328" s="10" t="s">
        <v>1543</v>
      </c>
      <c r="C328" s="12" t="s">
        <v>141</v>
      </c>
      <c r="D328" s="10" t="s">
        <v>2479</v>
      </c>
      <c r="E328" s="10" t="s">
        <v>26</v>
      </c>
      <c r="F328" s="10" t="s">
        <v>2480</v>
      </c>
      <c r="G328" s="10" t="s">
        <v>2481</v>
      </c>
      <c r="H328" s="43" t="s">
        <v>2482</v>
      </c>
      <c r="I328" s="43" t="s">
        <v>2483</v>
      </c>
      <c r="J328" s="44">
        <v>1.2453703703703703E-2</v>
      </c>
      <c r="K328" s="45">
        <v>4.3814814814814813E-2</v>
      </c>
      <c r="L328" s="12" t="s">
        <v>100</v>
      </c>
    </row>
    <row r="329" spans="1:12" ht="14.25" customHeight="1">
      <c r="A329" s="10">
        <v>630</v>
      </c>
      <c r="B329" s="10" t="s">
        <v>1543</v>
      </c>
      <c r="C329" s="12" t="s">
        <v>141</v>
      </c>
      <c r="D329" s="10" t="s">
        <v>2484</v>
      </c>
      <c r="E329" s="10" t="s">
        <v>36</v>
      </c>
      <c r="F329" s="10" t="s">
        <v>2485</v>
      </c>
      <c r="G329" s="10" t="s">
        <v>2486</v>
      </c>
      <c r="H329" s="43" t="s">
        <v>2487</v>
      </c>
      <c r="I329" s="43" t="s">
        <v>2488</v>
      </c>
      <c r="J329" s="44">
        <v>1.3287037037037036E-2</v>
      </c>
      <c r="K329" s="45">
        <v>4.4689351851851848E-2</v>
      </c>
      <c r="L329" s="12" t="s">
        <v>109</v>
      </c>
    </row>
    <row r="330" spans="1:12" ht="14.25" customHeight="1">
      <c r="A330" s="10">
        <v>632</v>
      </c>
      <c r="B330" s="10" t="s">
        <v>1543</v>
      </c>
      <c r="C330" s="12" t="s">
        <v>141</v>
      </c>
      <c r="D330" s="10" t="s">
        <v>2489</v>
      </c>
      <c r="E330" s="10" t="s">
        <v>45</v>
      </c>
      <c r="F330" s="10" t="s">
        <v>2490</v>
      </c>
      <c r="G330" s="10" t="s">
        <v>2491</v>
      </c>
      <c r="H330" s="43" t="s">
        <v>2492</v>
      </c>
      <c r="I330" s="43" t="s">
        <v>2493</v>
      </c>
      <c r="J330" s="44">
        <v>1.3020833333333334E-2</v>
      </c>
      <c r="K330" s="45">
        <v>4.5119444444444448E-2</v>
      </c>
      <c r="L330" s="12" t="s">
        <v>120</v>
      </c>
    </row>
    <row r="331" spans="1:12" ht="14.25" customHeight="1">
      <c r="A331" s="10">
        <v>623</v>
      </c>
      <c r="B331" s="10" t="s">
        <v>1543</v>
      </c>
      <c r="C331" s="12" t="s">
        <v>141</v>
      </c>
      <c r="D331" s="10" t="s">
        <v>2494</v>
      </c>
      <c r="E331" s="10" t="s">
        <v>1760</v>
      </c>
      <c r="F331" s="10" t="s">
        <v>2495</v>
      </c>
      <c r="G331" s="10" t="s">
        <v>2496</v>
      </c>
      <c r="H331" s="43" t="s">
        <v>2497</v>
      </c>
      <c r="I331" s="43" t="s">
        <v>2077</v>
      </c>
      <c r="J331" s="44">
        <v>1.2511574074074074E-2</v>
      </c>
      <c r="K331" s="45">
        <v>4.5129861111111107E-2</v>
      </c>
      <c r="L331" s="12" t="s">
        <v>128</v>
      </c>
    </row>
    <row r="332" spans="1:12" ht="14.25" customHeight="1">
      <c r="A332" s="10">
        <v>641</v>
      </c>
      <c r="B332" s="10" t="s">
        <v>1543</v>
      </c>
      <c r="C332" s="12" t="s">
        <v>141</v>
      </c>
      <c r="D332" s="10" t="s">
        <v>2498</v>
      </c>
      <c r="E332" s="10" t="s">
        <v>45</v>
      </c>
      <c r="F332" s="10" t="s">
        <v>2499</v>
      </c>
      <c r="G332" s="10" t="s">
        <v>2500</v>
      </c>
      <c r="H332" s="43" t="s">
        <v>2501</v>
      </c>
      <c r="I332" s="43" t="s">
        <v>2502</v>
      </c>
      <c r="J332" s="44">
        <v>1.3321759259259259E-2</v>
      </c>
      <c r="K332" s="45">
        <v>4.530497685185185E-2</v>
      </c>
      <c r="L332" s="12" t="s">
        <v>140</v>
      </c>
    </row>
    <row r="333" spans="1:12" ht="14.25" customHeight="1">
      <c r="A333" s="10">
        <v>620</v>
      </c>
      <c r="B333" s="10" t="s">
        <v>1543</v>
      </c>
      <c r="C333" s="12" t="s">
        <v>141</v>
      </c>
      <c r="D333" s="10" t="s">
        <v>2504</v>
      </c>
      <c r="E333" s="10" t="s">
        <v>2505</v>
      </c>
      <c r="F333" s="10" t="s">
        <v>2506</v>
      </c>
      <c r="G333" s="10" t="s">
        <v>2507</v>
      </c>
      <c r="H333" s="43" t="s">
        <v>2508</v>
      </c>
      <c r="I333" s="43" t="s">
        <v>2509</v>
      </c>
      <c r="J333" s="44">
        <v>1.2129629629629629E-2</v>
      </c>
      <c r="K333" s="45">
        <v>4.5967361111111112E-2</v>
      </c>
      <c r="L333" s="12" t="s">
        <v>284</v>
      </c>
    </row>
    <row r="334" spans="1:12" ht="14.25" customHeight="1">
      <c r="A334" s="10">
        <v>649</v>
      </c>
      <c r="B334" s="10" t="s">
        <v>1543</v>
      </c>
      <c r="C334" s="12" t="s">
        <v>141</v>
      </c>
      <c r="D334" s="10" t="s">
        <v>2510</v>
      </c>
      <c r="E334" s="10" t="s">
        <v>72</v>
      </c>
      <c r="F334" s="10" t="s">
        <v>2511</v>
      </c>
      <c r="G334" s="10" t="s">
        <v>2512</v>
      </c>
      <c r="H334" s="43" t="s">
        <v>2513</v>
      </c>
      <c r="I334" s="43" t="s">
        <v>2514</v>
      </c>
      <c r="J334" s="44">
        <v>1.2523148148148148E-2</v>
      </c>
      <c r="K334" s="45">
        <v>4.5996990740740741E-2</v>
      </c>
      <c r="L334" s="12" t="s">
        <v>296</v>
      </c>
    </row>
    <row r="335" spans="1:12" ht="14.25" customHeight="1">
      <c r="A335" s="10">
        <v>626</v>
      </c>
      <c r="B335" s="10" t="s">
        <v>1543</v>
      </c>
      <c r="C335" s="12" t="s">
        <v>141</v>
      </c>
      <c r="D335" s="10" t="s">
        <v>2515</v>
      </c>
      <c r="E335" s="10" t="s">
        <v>216</v>
      </c>
      <c r="F335" s="10" t="s">
        <v>2516</v>
      </c>
      <c r="G335" s="10" t="s">
        <v>2517</v>
      </c>
      <c r="H335" s="43" t="s">
        <v>2518</v>
      </c>
      <c r="I335" s="43" t="s">
        <v>2519</v>
      </c>
      <c r="J335" s="44">
        <v>1.4467592592592593E-2</v>
      </c>
      <c r="K335" s="45">
        <v>4.8784606481481481E-2</v>
      </c>
      <c r="L335" s="12" t="s">
        <v>309</v>
      </c>
    </row>
    <row r="336" spans="1:12" ht="14.25" customHeight="1">
      <c r="A336" s="10">
        <v>628</v>
      </c>
      <c r="B336" s="10" t="s">
        <v>1543</v>
      </c>
      <c r="C336" s="12" t="s">
        <v>141</v>
      </c>
      <c r="D336" s="10" t="s">
        <v>2520</v>
      </c>
      <c r="E336" s="10" t="s">
        <v>2505</v>
      </c>
      <c r="F336" s="10" t="s">
        <v>2521</v>
      </c>
      <c r="G336" s="10" t="s">
        <v>2522</v>
      </c>
      <c r="H336" s="43" t="s">
        <v>2523</v>
      </c>
      <c r="I336" s="43" t="s">
        <v>2524</v>
      </c>
      <c r="J336" s="44">
        <v>1.3206018518518518E-2</v>
      </c>
      <c r="K336" s="45">
        <v>5.0365625000000004E-2</v>
      </c>
      <c r="L336" s="12" t="s">
        <v>321</v>
      </c>
    </row>
    <row r="337" spans="1:12" ht="14.25" customHeight="1">
      <c r="A337" s="10">
        <v>647</v>
      </c>
      <c r="B337" s="10" t="s">
        <v>1543</v>
      </c>
      <c r="C337" s="12" t="s">
        <v>141</v>
      </c>
      <c r="D337" s="10" t="s">
        <v>2525</v>
      </c>
      <c r="E337" s="10" t="s">
        <v>155</v>
      </c>
      <c r="F337" s="10" t="s">
        <v>2526</v>
      </c>
      <c r="G337" s="10" t="s">
        <v>2527</v>
      </c>
      <c r="H337" s="43" t="s">
        <v>2528</v>
      </c>
      <c r="I337" s="43" t="s">
        <v>2529</v>
      </c>
      <c r="J337" s="44">
        <v>1.5219907407407408E-2</v>
      </c>
      <c r="K337" s="45">
        <v>5.119537037037037E-2</v>
      </c>
      <c r="L337" s="12" t="s">
        <v>330</v>
      </c>
    </row>
    <row r="338" spans="1:12" ht="14.25" customHeight="1">
      <c r="A338" s="10">
        <v>638</v>
      </c>
      <c r="B338" s="10" t="s">
        <v>1543</v>
      </c>
      <c r="C338" s="12" t="s">
        <v>141</v>
      </c>
      <c r="D338" s="10" t="s">
        <v>2531</v>
      </c>
      <c r="E338" s="10" t="s">
        <v>301</v>
      </c>
      <c r="F338" s="10" t="s">
        <v>2532</v>
      </c>
      <c r="G338" s="10" t="s">
        <v>2533</v>
      </c>
      <c r="H338" s="43" t="s">
        <v>2534</v>
      </c>
      <c r="I338" s="43" t="s">
        <v>2535</v>
      </c>
      <c r="J338" s="44">
        <v>1.2881944444444444E-2</v>
      </c>
      <c r="K338" s="45">
        <v>5.2051504629629632E-2</v>
      </c>
      <c r="L338" s="12" t="s">
        <v>346</v>
      </c>
    </row>
    <row r="339" spans="1:12" ht="14.25" customHeight="1">
      <c r="A339" s="10">
        <v>646</v>
      </c>
      <c r="B339" s="10" t="s">
        <v>1543</v>
      </c>
      <c r="C339" s="12" t="s">
        <v>141</v>
      </c>
      <c r="D339" s="10" t="s">
        <v>2536</v>
      </c>
      <c r="E339" s="10" t="s">
        <v>2537</v>
      </c>
      <c r="F339" s="10" t="s">
        <v>2538</v>
      </c>
      <c r="G339" s="10" t="s">
        <v>2539</v>
      </c>
      <c r="H339" s="43" t="s">
        <v>2360</v>
      </c>
      <c r="I339" s="43" t="s">
        <v>2540</v>
      </c>
      <c r="J339" s="44">
        <v>1.3634259259259259E-2</v>
      </c>
      <c r="K339" s="45">
        <v>5.5493750000000001E-2</v>
      </c>
      <c r="L339" s="12" t="s">
        <v>358</v>
      </c>
    </row>
    <row r="340" spans="1:12" ht="14.25" customHeight="1">
      <c r="A340" s="10">
        <v>634</v>
      </c>
      <c r="B340" s="10" t="s">
        <v>1543</v>
      </c>
      <c r="C340" s="12" t="s">
        <v>141</v>
      </c>
      <c r="D340" s="10" t="s">
        <v>2541</v>
      </c>
      <c r="E340" s="10" t="s">
        <v>2416</v>
      </c>
      <c r="F340" s="10" t="s">
        <v>2542</v>
      </c>
      <c r="G340" s="10" t="s">
        <v>2543</v>
      </c>
      <c r="H340" s="43" t="s">
        <v>2544</v>
      </c>
      <c r="I340" s="43" t="s">
        <v>2545</v>
      </c>
      <c r="J340" s="44">
        <v>1.6157407407407409E-2</v>
      </c>
      <c r="K340" s="45">
        <v>5.5544907407407404E-2</v>
      </c>
      <c r="L340" s="12" t="s">
        <v>369</v>
      </c>
    </row>
    <row r="341" spans="1:12" ht="14.25" customHeight="1">
      <c r="A341" s="10">
        <v>627</v>
      </c>
      <c r="B341" s="10" t="s">
        <v>1543</v>
      </c>
      <c r="C341" s="12" t="s">
        <v>141</v>
      </c>
      <c r="D341" s="10" t="s">
        <v>2546</v>
      </c>
      <c r="E341" s="10" t="s">
        <v>1760</v>
      </c>
      <c r="F341" s="10" t="s">
        <v>2547</v>
      </c>
      <c r="G341" s="10" t="s">
        <v>2548</v>
      </c>
      <c r="H341" s="43" t="s">
        <v>2550</v>
      </c>
      <c r="I341" s="43" t="s">
        <v>2551</v>
      </c>
      <c r="J341" s="44">
        <v>1.6932870370370369E-2</v>
      </c>
      <c r="K341" s="45">
        <v>5.5717939814814814E-2</v>
      </c>
      <c r="L341" s="12" t="s">
        <v>377</v>
      </c>
    </row>
    <row r="342" spans="1:12" ht="14.25" customHeight="1">
      <c r="A342" s="10">
        <v>650</v>
      </c>
      <c r="B342" s="10" t="s">
        <v>1543</v>
      </c>
      <c r="C342" s="12" t="s">
        <v>141</v>
      </c>
      <c r="D342" s="10" t="s">
        <v>2552</v>
      </c>
      <c r="E342" s="10" t="s">
        <v>194</v>
      </c>
      <c r="F342" s="10" t="s">
        <v>2553</v>
      </c>
      <c r="G342" s="10" t="s">
        <v>2554</v>
      </c>
      <c r="H342" s="43" t="s">
        <v>2555</v>
      </c>
      <c r="I342" s="43" t="s">
        <v>2556</v>
      </c>
      <c r="J342" s="44">
        <v>1.8148148148148149E-2</v>
      </c>
      <c r="K342" s="45">
        <v>5.5930208333333335E-2</v>
      </c>
      <c r="L342" s="12" t="s">
        <v>389</v>
      </c>
    </row>
    <row r="343" spans="1:12" ht="14.25" customHeight="1">
      <c r="A343" s="10">
        <v>644</v>
      </c>
      <c r="B343" s="10" t="s">
        <v>1543</v>
      </c>
      <c r="C343" s="12" t="s">
        <v>141</v>
      </c>
      <c r="D343" s="10" t="s">
        <v>2557</v>
      </c>
      <c r="E343" s="10" t="s">
        <v>845</v>
      </c>
      <c r="F343" s="10" t="s">
        <v>2558</v>
      </c>
      <c r="G343" s="10" t="s">
        <v>2559</v>
      </c>
      <c r="H343" s="43" t="s">
        <v>2560</v>
      </c>
      <c r="I343" s="43" t="s">
        <v>2561</v>
      </c>
      <c r="J343" s="44">
        <v>1.6296296296296295E-2</v>
      </c>
      <c r="K343" s="45">
        <v>5.6414814814814813E-2</v>
      </c>
      <c r="L343" s="12" t="s">
        <v>400</v>
      </c>
    </row>
    <row r="344" spans="1:12" ht="14.25" customHeight="1">
      <c r="A344" s="10">
        <v>625</v>
      </c>
      <c r="B344" s="10" t="s">
        <v>1543</v>
      </c>
      <c r="C344" s="12" t="s">
        <v>141</v>
      </c>
      <c r="D344" s="10" t="s">
        <v>2563</v>
      </c>
      <c r="E344" s="10" t="s">
        <v>337</v>
      </c>
      <c r="F344" s="10" t="s">
        <v>2564</v>
      </c>
      <c r="G344" s="10" t="s">
        <v>2565</v>
      </c>
      <c r="H344" s="43" t="s">
        <v>2566</v>
      </c>
      <c r="I344" s="43" t="s">
        <v>2567</v>
      </c>
      <c r="J344" s="44">
        <v>1.4861111111111111E-2</v>
      </c>
      <c r="K344" s="45">
        <v>5.667083333333333E-2</v>
      </c>
      <c r="L344" s="12" t="s">
        <v>411</v>
      </c>
    </row>
    <row r="345" spans="1:12" ht="14.25" customHeight="1">
      <c r="A345" s="10">
        <v>648</v>
      </c>
      <c r="B345" s="10" t="s">
        <v>1543</v>
      </c>
      <c r="C345" s="12" t="s">
        <v>141</v>
      </c>
      <c r="D345" s="10" t="s">
        <v>2569</v>
      </c>
      <c r="E345" s="10" t="s">
        <v>155</v>
      </c>
      <c r="F345" s="10" t="s">
        <v>2571</v>
      </c>
      <c r="G345" s="10" t="s">
        <v>2572</v>
      </c>
      <c r="H345" s="43" t="s">
        <v>2573</v>
      </c>
      <c r="I345" s="43" t="s">
        <v>732</v>
      </c>
      <c r="J345" s="44">
        <v>1.7511574074074075E-2</v>
      </c>
      <c r="K345" s="45">
        <v>5.7410648148148148E-2</v>
      </c>
      <c r="L345" s="12" t="s">
        <v>421</v>
      </c>
    </row>
    <row r="346" spans="1:12" ht="14.25" customHeight="1">
      <c r="A346" s="10">
        <v>618</v>
      </c>
      <c r="B346" s="10" t="s">
        <v>1543</v>
      </c>
      <c r="C346" s="12" t="s">
        <v>141</v>
      </c>
      <c r="D346" s="10" t="s">
        <v>2574</v>
      </c>
      <c r="E346" s="10" t="s">
        <v>194</v>
      </c>
      <c r="F346" s="10" t="s">
        <v>2575</v>
      </c>
      <c r="G346" s="10" t="s">
        <v>2576</v>
      </c>
      <c r="H346" s="43" t="s">
        <v>2577</v>
      </c>
      <c r="I346" s="43" t="s">
        <v>2578</v>
      </c>
      <c r="J346" s="44">
        <v>1.7013888888888887E-2</v>
      </c>
      <c r="K346" s="45">
        <v>6.0504398148148147E-2</v>
      </c>
      <c r="L346" s="12" t="s">
        <v>432</v>
      </c>
    </row>
    <row r="347" spans="1:12" ht="14.25" customHeight="1">
      <c r="A347" s="10">
        <v>640</v>
      </c>
      <c r="B347" s="10" t="s">
        <v>1543</v>
      </c>
      <c r="C347" s="12" t="s">
        <v>141</v>
      </c>
      <c r="D347" s="10" t="s">
        <v>2579</v>
      </c>
      <c r="E347" s="10" t="s">
        <v>337</v>
      </c>
      <c r="F347" s="10" t="s">
        <v>2580</v>
      </c>
      <c r="G347" s="10" t="s">
        <v>2581</v>
      </c>
      <c r="H347" s="43" t="s">
        <v>2582</v>
      </c>
      <c r="I347" s="43" t="s">
        <v>2583</v>
      </c>
      <c r="J347" s="44">
        <v>1.6446759259259258E-2</v>
      </c>
      <c r="K347" s="45">
        <v>6.0938773148148141E-2</v>
      </c>
      <c r="L347" s="12" t="s">
        <v>442</v>
      </c>
    </row>
    <row r="348" spans="1:12" ht="14.25" customHeight="1">
      <c r="A348" s="10">
        <v>639</v>
      </c>
      <c r="B348" s="10" t="s">
        <v>1543</v>
      </c>
      <c r="C348" s="12" t="s">
        <v>141</v>
      </c>
      <c r="D348" s="10" t="s">
        <v>2584</v>
      </c>
      <c r="E348" s="10" t="s">
        <v>540</v>
      </c>
      <c r="F348" s="10" t="s">
        <v>2585</v>
      </c>
      <c r="G348" s="10" t="s">
        <v>2586</v>
      </c>
      <c r="H348" s="43" t="s">
        <v>2587</v>
      </c>
      <c r="I348" s="43" t="s">
        <v>2588</v>
      </c>
      <c r="J348" s="44">
        <v>1.6400462962962964E-2</v>
      </c>
      <c r="K348" s="45">
        <v>6.0968287037037036E-2</v>
      </c>
      <c r="L348" s="12" t="s">
        <v>455</v>
      </c>
    </row>
    <row r="349" spans="1:12" ht="14.25" customHeight="1">
      <c r="A349" s="10">
        <v>619</v>
      </c>
      <c r="B349" s="10" t="s">
        <v>1543</v>
      </c>
      <c r="C349" s="12" t="s">
        <v>141</v>
      </c>
      <c r="D349" s="10" t="s">
        <v>2590</v>
      </c>
      <c r="E349" s="10" t="s">
        <v>540</v>
      </c>
      <c r="F349" s="10" t="s">
        <v>2591</v>
      </c>
      <c r="G349" s="10" t="s">
        <v>2592</v>
      </c>
      <c r="H349" s="43" t="s">
        <v>2593</v>
      </c>
      <c r="I349" s="43" t="s">
        <v>2594</v>
      </c>
      <c r="J349" s="44">
        <v>2.060185185185185E-2</v>
      </c>
      <c r="K349" s="45">
        <v>6.3528819444444454E-2</v>
      </c>
      <c r="L349" s="12" t="s">
        <v>467</v>
      </c>
    </row>
    <row r="350" spans="1:12" ht="14.25" customHeight="1">
      <c r="A350" s="10">
        <v>635</v>
      </c>
      <c r="B350" s="10" t="s">
        <v>1543</v>
      </c>
      <c r="C350" s="12" t="s">
        <v>141</v>
      </c>
      <c r="D350" s="10" t="s">
        <v>2595</v>
      </c>
      <c r="E350" s="10" t="s">
        <v>36</v>
      </c>
      <c r="F350" s="10" t="s">
        <v>2596</v>
      </c>
      <c r="G350" s="10" t="s">
        <v>2597</v>
      </c>
      <c r="H350" s="43" t="s">
        <v>2598</v>
      </c>
      <c r="I350" s="43" t="s">
        <v>2599</v>
      </c>
      <c r="J350" s="44">
        <v>1.1493055555555555E-2</v>
      </c>
      <c r="K350" s="45">
        <v>4.5380324074074073E-2</v>
      </c>
      <c r="L350" s="12" t="s">
        <v>538</v>
      </c>
    </row>
    <row r="351" spans="1:12" ht="14.25" customHeight="1">
      <c r="A351" s="10">
        <v>624</v>
      </c>
      <c r="B351" s="10" t="s">
        <v>1543</v>
      </c>
      <c r="C351" s="12" t="s">
        <v>141</v>
      </c>
      <c r="D351" s="10" t="s">
        <v>2600</v>
      </c>
      <c r="E351" s="10" t="s">
        <v>624</v>
      </c>
      <c r="F351" s="10" t="s">
        <v>2602</v>
      </c>
      <c r="G351" s="10" t="s">
        <v>2603</v>
      </c>
      <c r="H351" s="43"/>
      <c r="I351" s="43"/>
      <c r="J351" s="47"/>
      <c r="K351" s="45">
        <v>4.8816435185185185E-2</v>
      </c>
      <c r="L351" s="12" t="s">
        <v>538</v>
      </c>
    </row>
    <row r="352" spans="1:12" ht="14.25" customHeight="1">
      <c r="A352" s="10">
        <v>645</v>
      </c>
      <c r="B352" s="10" t="s">
        <v>1543</v>
      </c>
      <c r="C352" s="12" t="s">
        <v>141</v>
      </c>
      <c r="D352" s="10" t="s">
        <v>2604</v>
      </c>
      <c r="E352" s="10" t="s">
        <v>1760</v>
      </c>
      <c r="F352" s="10" t="s">
        <v>2605</v>
      </c>
      <c r="G352" s="10" t="s">
        <v>2606</v>
      </c>
      <c r="H352" s="43" t="s">
        <v>2608</v>
      </c>
      <c r="I352" s="43" t="s">
        <v>2609</v>
      </c>
      <c r="J352" s="44">
        <v>1.7743055555555557E-2</v>
      </c>
      <c r="K352" s="45">
        <v>6.0298958333333333E-2</v>
      </c>
      <c r="L352" s="12" t="s">
        <v>538</v>
      </c>
    </row>
    <row r="353" spans="1:12" ht="14.25" customHeight="1">
      <c r="A353" s="10">
        <v>643</v>
      </c>
      <c r="B353" s="10" t="s">
        <v>1543</v>
      </c>
      <c r="C353" s="12" t="s">
        <v>141</v>
      </c>
      <c r="D353" s="10" t="s">
        <v>2610</v>
      </c>
      <c r="E353" s="10" t="s">
        <v>241</v>
      </c>
      <c r="F353" s="10" t="s">
        <v>2611</v>
      </c>
      <c r="G353" s="10" t="s">
        <v>2612</v>
      </c>
      <c r="H353" s="43"/>
      <c r="I353" s="43"/>
      <c r="J353" s="47"/>
      <c r="K353" s="48"/>
      <c r="L353" s="12" t="s">
        <v>557</v>
      </c>
    </row>
    <row r="354" spans="1:12" ht="14.25" customHeight="1">
      <c r="A354" s="10">
        <v>637</v>
      </c>
      <c r="B354" s="10" t="s">
        <v>1543</v>
      </c>
      <c r="C354" s="12" t="s">
        <v>141</v>
      </c>
      <c r="D354" s="10" t="s">
        <v>2613</v>
      </c>
      <c r="E354" s="10" t="s">
        <v>845</v>
      </c>
      <c r="F354" s="10" t="s">
        <v>2614</v>
      </c>
      <c r="G354" s="10" t="s">
        <v>556</v>
      </c>
      <c r="H354" s="43"/>
      <c r="I354" s="43"/>
      <c r="J354" s="47"/>
      <c r="K354" s="48"/>
      <c r="L354" s="12" t="s">
        <v>557</v>
      </c>
    </row>
    <row r="355" spans="1:12" ht="14.25" customHeight="1">
      <c r="A355" s="10">
        <v>513</v>
      </c>
      <c r="B355" s="10" t="s">
        <v>2615</v>
      </c>
      <c r="C355" s="12" t="s">
        <v>23</v>
      </c>
      <c r="D355" s="10" t="s">
        <v>1711</v>
      </c>
      <c r="E355" s="10" t="s">
        <v>36</v>
      </c>
      <c r="F355" s="10" t="s">
        <v>2616</v>
      </c>
      <c r="G355" s="10" t="s">
        <v>2617</v>
      </c>
      <c r="H355" s="43" t="s">
        <v>2618</v>
      </c>
      <c r="I355" s="43" t="s">
        <v>2619</v>
      </c>
      <c r="J355" s="44">
        <v>1.3773148148148149E-2</v>
      </c>
      <c r="K355" s="45">
        <v>4.6837962962962963E-2</v>
      </c>
      <c r="L355" s="12" t="s">
        <v>34</v>
      </c>
    </row>
    <row r="356" spans="1:12" ht="14.25" customHeight="1">
      <c r="A356" s="10">
        <v>507</v>
      </c>
      <c r="B356" s="10" t="s">
        <v>2615</v>
      </c>
      <c r="C356" s="12" t="s">
        <v>23</v>
      </c>
      <c r="D356" s="10" t="s">
        <v>1725</v>
      </c>
      <c r="E356" s="10" t="s">
        <v>26</v>
      </c>
      <c r="F356" s="10" t="s">
        <v>2621</v>
      </c>
      <c r="G356" s="10" t="s">
        <v>2622</v>
      </c>
      <c r="H356" s="43" t="s">
        <v>2623</v>
      </c>
      <c r="I356" s="43" t="s">
        <v>1515</v>
      </c>
      <c r="J356" s="44">
        <v>1.4687499999999999E-2</v>
      </c>
      <c r="K356" s="45">
        <v>4.7167708333333336E-2</v>
      </c>
      <c r="L356" s="12" t="s">
        <v>43</v>
      </c>
    </row>
    <row r="357" spans="1:12" ht="14.25" customHeight="1">
      <c r="A357" s="10">
        <v>508</v>
      </c>
      <c r="B357" s="10" t="s">
        <v>2615</v>
      </c>
      <c r="C357" s="12" t="s">
        <v>23</v>
      </c>
      <c r="D357" s="10" t="s">
        <v>1740</v>
      </c>
      <c r="E357" s="10" t="s">
        <v>798</v>
      </c>
      <c r="F357" s="10" t="s">
        <v>2624</v>
      </c>
      <c r="G357" s="10" t="s">
        <v>2625</v>
      </c>
      <c r="H357" s="43" t="s">
        <v>2626</v>
      </c>
      <c r="I357" s="43" t="s">
        <v>2627</v>
      </c>
      <c r="J357" s="44">
        <v>1.3425925925925926E-2</v>
      </c>
      <c r="K357" s="45">
        <v>4.7645833333333339E-2</v>
      </c>
      <c r="L357" s="12" t="s">
        <v>52</v>
      </c>
    </row>
    <row r="358" spans="1:12" ht="14.25" customHeight="1">
      <c r="A358" s="10">
        <v>510</v>
      </c>
      <c r="B358" s="10" t="s">
        <v>2615</v>
      </c>
      <c r="C358" s="12" t="s">
        <v>23</v>
      </c>
      <c r="D358" s="10" t="s">
        <v>2628</v>
      </c>
      <c r="E358" s="10" t="s">
        <v>54</v>
      </c>
      <c r="F358" s="10" t="s">
        <v>2629</v>
      </c>
      <c r="G358" s="10" t="s">
        <v>2630</v>
      </c>
      <c r="H358" s="43" t="s">
        <v>2631</v>
      </c>
      <c r="I358" s="43" t="s">
        <v>2186</v>
      </c>
      <c r="J358" s="44">
        <v>1.636574074074074E-2</v>
      </c>
      <c r="K358" s="45">
        <v>5.02644675925926E-2</v>
      </c>
      <c r="L358" s="12" t="s">
        <v>61</v>
      </c>
    </row>
    <row r="359" spans="1:12" ht="14.25" customHeight="1">
      <c r="A359" s="10">
        <v>501</v>
      </c>
      <c r="B359" s="10" t="s">
        <v>2615</v>
      </c>
      <c r="C359" s="12" t="s">
        <v>23</v>
      </c>
      <c r="D359" s="10" t="s">
        <v>2632</v>
      </c>
      <c r="E359" s="10" t="s">
        <v>36</v>
      </c>
      <c r="F359" s="10" t="s">
        <v>2633</v>
      </c>
      <c r="G359" s="10" t="s">
        <v>2634</v>
      </c>
      <c r="H359" s="43" t="s">
        <v>2635</v>
      </c>
      <c r="I359" s="43" t="s">
        <v>2636</v>
      </c>
      <c r="J359" s="44">
        <v>1.6932870370370369E-2</v>
      </c>
      <c r="K359" s="45">
        <v>5.2209259259259261E-2</v>
      </c>
      <c r="L359" s="12" t="s">
        <v>70</v>
      </c>
    </row>
    <row r="360" spans="1:12" ht="14.25" customHeight="1">
      <c r="A360" s="10">
        <v>509</v>
      </c>
      <c r="B360" s="10" t="s">
        <v>2615</v>
      </c>
      <c r="C360" s="12" t="s">
        <v>23</v>
      </c>
      <c r="D360" s="10" t="s">
        <v>2637</v>
      </c>
      <c r="E360" s="10" t="s">
        <v>216</v>
      </c>
      <c r="F360" s="10" t="s">
        <v>2638</v>
      </c>
      <c r="G360" s="10" t="s">
        <v>2639</v>
      </c>
      <c r="H360" s="43" t="s">
        <v>2640</v>
      </c>
      <c r="I360" s="43" t="s">
        <v>2641</v>
      </c>
      <c r="J360" s="44">
        <v>1.7615740740740741E-2</v>
      </c>
      <c r="K360" s="45">
        <v>5.4651736111111113E-2</v>
      </c>
      <c r="L360" s="12" t="s">
        <v>79</v>
      </c>
    </row>
    <row r="361" spans="1:12" ht="14.25" customHeight="1">
      <c r="A361" s="10">
        <v>506</v>
      </c>
      <c r="B361" s="10" t="s">
        <v>2615</v>
      </c>
      <c r="C361" s="12" t="s">
        <v>23</v>
      </c>
      <c r="D361" s="10" t="s">
        <v>2642</v>
      </c>
      <c r="E361" s="10" t="s">
        <v>216</v>
      </c>
      <c r="F361" s="10" t="s">
        <v>2644</v>
      </c>
      <c r="G361" s="10" t="s">
        <v>899</v>
      </c>
      <c r="H361" s="43" t="s">
        <v>2645</v>
      </c>
      <c r="I361" s="43" t="s">
        <v>2646</v>
      </c>
      <c r="J361" s="44">
        <v>1.7812499999999998E-2</v>
      </c>
      <c r="K361" s="45">
        <v>5.6984953703703704E-2</v>
      </c>
      <c r="L361" s="12" t="s">
        <v>90</v>
      </c>
    </row>
    <row r="362" spans="1:12" ht="14.25" customHeight="1">
      <c r="A362" s="10">
        <v>511</v>
      </c>
      <c r="B362" s="10" t="s">
        <v>2615</v>
      </c>
      <c r="C362" s="12" t="s">
        <v>23</v>
      </c>
      <c r="D362" s="10" t="s">
        <v>2647</v>
      </c>
      <c r="E362" s="10" t="s">
        <v>155</v>
      </c>
      <c r="F362" s="10" t="s">
        <v>2648</v>
      </c>
      <c r="G362" s="10" t="s">
        <v>2649</v>
      </c>
      <c r="H362" s="43" t="s">
        <v>2650</v>
      </c>
      <c r="I362" s="43" t="s">
        <v>2651</v>
      </c>
      <c r="J362" s="44">
        <v>2.0104166666666666E-2</v>
      </c>
      <c r="K362" s="45">
        <v>5.9070833333333336E-2</v>
      </c>
      <c r="L362" s="12" t="s">
        <v>100</v>
      </c>
    </row>
    <row r="363" spans="1:12" ht="14.25" customHeight="1">
      <c r="A363" s="10">
        <v>514</v>
      </c>
      <c r="B363" s="10" t="s">
        <v>2615</v>
      </c>
      <c r="C363" s="12" t="s">
        <v>23</v>
      </c>
      <c r="D363" s="10" t="s">
        <v>2653</v>
      </c>
      <c r="E363" s="10" t="s">
        <v>2432</v>
      </c>
      <c r="F363" s="10" t="s">
        <v>2654</v>
      </c>
      <c r="G363" s="10" t="s">
        <v>2655</v>
      </c>
      <c r="H363" s="43" t="s">
        <v>2656</v>
      </c>
      <c r="I363" s="43" t="s">
        <v>2657</v>
      </c>
      <c r="J363" s="44">
        <v>2.0081018518518519E-2</v>
      </c>
      <c r="K363" s="45">
        <v>6.0306249999999999E-2</v>
      </c>
      <c r="L363" s="12" t="s">
        <v>109</v>
      </c>
    </row>
    <row r="364" spans="1:12" ht="14.25" customHeight="1">
      <c r="A364" s="10">
        <v>500</v>
      </c>
      <c r="B364" s="10" t="s">
        <v>2615</v>
      </c>
      <c r="C364" s="12" t="s">
        <v>23</v>
      </c>
      <c r="D364" s="10" t="s">
        <v>2658</v>
      </c>
      <c r="E364" s="10" t="s">
        <v>624</v>
      </c>
      <c r="F364" s="10" t="s">
        <v>2660</v>
      </c>
      <c r="G364" s="10" t="s">
        <v>2661</v>
      </c>
      <c r="H364" s="43" t="s">
        <v>2662</v>
      </c>
      <c r="I364" s="43" t="s">
        <v>2663</v>
      </c>
      <c r="J364" s="44">
        <v>2.3715277777777776E-2</v>
      </c>
      <c r="K364" s="45">
        <v>6.807789351851852E-2</v>
      </c>
      <c r="L364" s="12" t="s">
        <v>120</v>
      </c>
    </row>
    <row r="365" spans="1:12" ht="14.25" customHeight="1">
      <c r="A365" s="10">
        <v>502</v>
      </c>
      <c r="B365" s="10" t="s">
        <v>2615</v>
      </c>
      <c r="C365" s="12" t="s">
        <v>23</v>
      </c>
      <c r="D365" s="10" t="s">
        <v>2665</v>
      </c>
      <c r="E365" s="10" t="s">
        <v>2537</v>
      </c>
      <c r="F365" s="10" t="s">
        <v>2666</v>
      </c>
      <c r="G365" s="10" t="s">
        <v>2667</v>
      </c>
      <c r="H365" s="43" t="s">
        <v>2668</v>
      </c>
      <c r="I365" s="43" t="s">
        <v>2669</v>
      </c>
      <c r="J365" s="44">
        <v>2.2858796296296297E-2</v>
      </c>
      <c r="K365" s="45">
        <v>7.3816550925925928E-2</v>
      </c>
      <c r="L365" s="12" t="s">
        <v>128</v>
      </c>
    </row>
    <row r="366" spans="1:12" ht="14.25" customHeight="1">
      <c r="A366" s="10">
        <v>503</v>
      </c>
      <c r="B366" s="10" t="s">
        <v>2615</v>
      </c>
      <c r="C366" s="12" t="s">
        <v>23</v>
      </c>
      <c r="D366" s="10" t="s">
        <v>2670</v>
      </c>
      <c r="E366" s="10" t="s">
        <v>112</v>
      </c>
      <c r="F366" s="10" t="s">
        <v>2671</v>
      </c>
      <c r="G366" s="10" t="s">
        <v>2673</v>
      </c>
      <c r="H366" s="43"/>
      <c r="I366" s="43"/>
      <c r="J366" s="47"/>
      <c r="K366" s="45">
        <v>4.9903819444444442E-2</v>
      </c>
      <c r="L366" s="12" t="s">
        <v>538</v>
      </c>
    </row>
    <row r="367" spans="1:12" ht="14.25" customHeight="1">
      <c r="A367" s="10">
        <v>505</v>
      </c>
      <c r="B367" s="10" t="s">
        <v>2615</v>
      </c>
      <c r="C367" s="12" t="s">
        <v>23</v>
      </c>
      <c r="D367" s="10" t="s">
        <v>2674</v>
      </c>
      <c r="E367" s="10" t="s">
        <v>148</v>
      </c>
      <c r="F367" s="10" t="s">
        <v>2675</v>
      </c>
      <c r="G367" s="10" t="s">
        <v>2353</v>
      </c>
      <c r="H367" s="43"/>
      <c r="I367" s="43"/>
      <c r="J367" s="47"/>
      <c r="K367" s="45">
        <v>5.1647106481481485E-2</v>
      </c>
      <c r="L367" s="12" t="s">
        <v>538</v>
      </c>
    </row>
    <row r="368" spans="1:12" ht="14.25" customHeight="1">
      <c r="A368" s="10">
        <v>515</v>
      </c>
      <c r="B368" s="10" t="s">
        <v>2615</v>
      </c>
      <c r="C368" s="12" t="s">
        <v>23</v>
      </c>
      <c r="D368" s="10" t="s">
        <v>2676</v>
      </c>
      <c r="E368" s="10" t="s">
        <v>2537</v>
      </c>
      <c r="F368" s="10" t="s">
        <v>2677</v>
      </c>
      <c r="G368" s="10" t="s">
        <v>2678</v>
      </c>
      <c r="H368" s="58">
        <v>4.3335763888888892E-2</v>
      </c>
      <c r="I368" s="43" t="s">
        <v>2679</v>
      </c>
      <c r="J368" s="47"/>
      <c r="K368" s="45">
        <v>7.7129976851851856E-2</v>
      </c>
      <c r="L368" s="12" t="s">
        <v>538</v>
      </c>
    </row>
    <row r="369" spans="1:12" ht="14.25" customHeight="1">
      <c r="A369" s="10">
        <v>512</v>
      </c>
      <c r="B369" s="10" t="s">
        <v>2615</v>
      </c>
      <c r="C369" s="12" t="s">
        <v>23</v>
      </c>
      <c r="D369" s="10" t="s">
        <v>2680</v>
      </c>
      <c r="E369" s="10" t="s">
        <v>93</v>
      </c>
      <c r="F369" s="10" t="s">
        <v>2681</v>
      </c>
      <c r="G369" s="10" t="s">
        <v>556</v>
      </c>
      <c r="H369" s="43"/>
      <c r="I369" s="43"/>
      <c r="J369" s="47"/>
      <c r="K369" s="48"/>
      <c r="L369" s="12" t="s">
        <v>557</v>
      </c>
    </row>
    <row r="370" spans="1:12" ht="14.25" customHeight="1">
      <c r="A370" s="10">
        <v>526</v>
      </c>
      <c r="B370" s="10" t="s">
        <v>2615</v>
      </c>
      <c r="C370" s="12" t="s">
        <v>141</v>
      </c>
      <c r="D370" s="10" t="s">
        <v>1776</v>
      </c>
      <c r="E370" s="10" t="s">
        <v>183</v>
      </c>
      <c r="F370" s="10" t="s">
        <v>2682</v>
      </c>
      <c r="G370" s="10" t="s">
        <v>2683</v>
      </c>
      <c r="H370" s="43" t="s">
        <v>2684</v>
      </c>
      <c r="I370" s="43" t="s">
        <v>2685</v>
      </c>
      <c r="J370" s="44">
        <v>1.173611111111111E-2</v>
      </c>
      <c r="K370" s="48" t="s">
        <v>1778</v>
      </c>
      <c r="L370" s="12" t="s">
        <v>34</v>
      </c>
    </row>
    <row r="371" spans="1:12" ht="14.25" customHeight="1">
      <c r="A371" s="10">
        <v>552</v>
      </c>
      <c r="B371" s="10" t="s">
        <v>2615</v>
      </c>
      <c r="C371" s="12" t="s">
        <v>141</v>
      </c>
      <c r="D371" s="10" t="s">
        <v>1792</v>
      </c>
      <c r="E371" s="10" t="s">
        <v>45</v>
      </c>
      <c r="F371" s="10" t="s">
        <v>2686</v>
      </c>
      <c r="G371" s="10" t="s">
        <v>2687</v>
      </c>
      <c r="H371" s="43" t="s">
        <v>2688</v>
      </c>
      <c r="I371" s="43" t="s">
        <v>2689</v>
      </c>
      <c r="J371" s="44">
        <v>1.1006944444444444E-2</v>
      </c>
      <c r="K371" s="48" t="s">
        <v>1795</v>
      </c>
      <c r="L371" s="12" t="s">
        <v>43</v>
      </c>
    </row>
    <row r="372" spans="1:12" ht="14.25" customHeight="1">
      <c r="A372" s="10">
        <v>535</v>
      </c>
      <c r="B372" s="10" t="s">
        <v>2615</v>
      </c>
      <c r="C372" s="12" t="s">
        <v>141</v>
      </c>
      <c r="D372" s="10" t="s">
        <v>1805</v>
      </c>
      <c r="E372" s="10" t="s">
        <v>183</v>
      </c>
      <c r="F372" s="10" t="s">
        <v>2690</v>
      </c>
      <c r="G372" s="10" t="s">
        <v>2691</v>
      </c>
      <c r="H372" s="43" t="s">
        <v>2692</v>
      </c>
      <c r="I372" s="43" t="s">
        <v>2694</v>
      </c>
      <c r="J372" s="44">
        <v>1.1423611111111112E-2</v>
      </c>
      <c r="K372" s="48" t="s">
        <v>1807</v>
      </c>
      <c r="L372" s="12" t="s">
        <v>52</v>
      </c>
    </row>
    <row r="373" spans="1:12" ht="14.25" customHeight="1">
      <c r="A373" s="10">
        <v>523</v>
      </c>
      <c r="B373" s="10" t="s">
        <v>2615</v>
      </c>
      <c r="C373" s="12" t="s">
        <v>141</v>
      </c>
      <c r="D373" s="10" t="s">
        <v>2695</v>
      </c>
      <c r="E373" s="10" t="s">
        <v>798</v>
      </c>
      <c r="F373" s="10" t="s">
        <v>2696</v>
      </c>
      <c r="G373" s="10" t="s">
        <v>2697</v>
      </c>
      <c r="H373" s="43" t="s">
        <v>2698</v>
      </c>
      <c r="I373" s="43" t="s">
        <v>2699</v>
      </c>
      <c r="J373" s="44">
        <v>1.170138888888889E-2</v>
      </c>
      <c r="K373" s="45">
        <v>4.1851041666666665E-2</v>
      </c>
      <c r="L373" s="12" t="s">
        <v>61</v>
      </c>
    </row>
    <row r="374" spans="1:12" ht="14.25" customHeight="1">
      <c r="A374" s="10">
        <v>557</v>
      </c>
      <c r="B374" s="10" t="s">
        <v>2615</v>
      </c>
      <c r="C374" s="12" t="s">
        <v>141</v>
      </c>
      <c r="D374" s="10" t="s">
        <v>2700</v>
      </c>
      <c r="E374" s="10" t="s">
        <v>155</v>
      </c>
      <c r="F374" s="10" t="s">
        <v>2701</v>
      </c>
      <c r="G374" s="10" t="s">
        <v>2702</v>
      </c>
      <c r="H374" s="43" t="s">
        <v>2703</v>
      </c>
      <c r="I374" s="43" t="s">
        <v>2704</v>
      </c>
      <c r="J374" s="44">
        <v>1.2222222222222223E-2</v>
      </c>
      <c r="K374" s="45">
        <v>4.2391319444444443E-2</v>
      </c>
      <c r="L374" s="12" t="s">
        <v>70</v>
      </c>
    </row>
    <row r="375" spans="1:12" ht="14.25" customHeight="1">
      <c r="A375" s="10">
        <v>551</v>
      </c>
      <c r="B375" s="10" t="s">
        <v>2615</v>
      </c>
      <c r="C375" s="12" t="s">
        <v>141</v>
      </c>
      <c r="D375" s="10" t="s">
        <v>2705</v>
      </c>
      <c r="E375" s="10" t="s">
        <v>2432</v>
      </c>
      <c r="F375" s="10" t="s">
        <v>2706</v>
      </c>
      <c r="G375" s="10" t="s">
        <v>2707</v>
      </c>
      <c r="H375" s="43" t="s">
        <v>2708</v>
      </c>
      <c r="I375" s="43" t="s">
        <v>2709</v>
      </c>
      <c r="J375" s="44">
        <v>1.2615740740740742E-2</v>
      </c>
      <c r="K375" s="45">
        <v>4.295613425925926E-2</v>
      </c>
      <c r="L375" s="12" t="s">
        <v>79</v>
      </c>
    </row>
    <row r="376" spans="1:12" ht="14.25" customHeight="1">
      <c r="A376" s="10">
        <v>549</v>
      </c>
      <c r="B376" s="10" t="s">
        <v>2615</v>
      </c>
      <c r="C376" s="12" t="s">
        <v>141</v>
      </c>
      <c r="D376" s="10" t="s">
        <v>2711</v>
      </c>
      <c r="E376" s="10" t="s">
        <v>183</v>
      </c>
      <c r="F376" s="10" t="s">
        <v>2712</v>
      </c>
      <c r="G376" s="10" t="s">
        <v>2713</v>
      </c>
      <c r="H376" s="43" t="s">
        <v>2714</v>
      </c>
      <c r="I376" s="43" t="s">
        <v>2715</v>
      </c>
      <c r="J376" s="44">
        <v>1.2685185185185185E-2</v>
      </c>
      <c r="K376" s="45">
        <v>4.355011574074074E-2</v>
      </c>
      <c r="L376" s="12" t="s">
        <v>90</v>
      </c>
    </row>
    <row r="377" spans="1:12" ht="14.25" customHeight="1">
      <c r="A377" s="10">
        <v>522</v>
      </c>
      <c r="B377" s="10" t="s">
        <v>2615</v>
      </c>
      <c r="C377" s="12" t="s">
        <v>141</v>
      </c>
      <c r="D377" s="10" t="s">
        <v>2716</v>
      </c>
      <c r="E377" s="10" t="s">
        <v>36</v>
      </c>
      <c r="F377" s="10" t="s">
        <v>2717</v>
      </c>
      <c r="G377" s="10" t="s">
        <v>2718</v>
      </c>
      <c r="H377" s="43" t="s">
        <v>2719</v>
      </c>
      <c r="I377" s="43" t="s">
        <v>2720</v>
      </c>
      <c r="J377" s="44">
        <v>1.3263888888888889E-2</v>
      </c>
      <c r="K377" s="45">
        <v>4.413414351851852E-2</v>
      </c>
      <c r="L377" s="12" t="s">
        <v>100</v>
      </c>
    </row>
    <row r="378" spans="1:12" ht="14.25" customHeight="1">
      <c r="A378" s="10">
        <v>534</v>
      </c>
      <c r="B378" s="10" t="s">
        <v>2615</v>
      </c>
      <c r="C378" s="12" t="s">
        <v>141</v>
      </c>
      <c r="D378" s="10" t="s">
        <v>2721</v>
      </c>
      <c r="E378" s="10" t="s">
        <v>26</v>
      </c>
      <c r="F378" s="10" t="s">
        <v>2722</v>
      </c>
      <c r="G378" s="10" t="s">
        <v>2723</v>
      </c>
      <c r="H378" s="43" t="s">
        <v>2724</v>
      </c>
      <c r="I378" s="43" t="s">
        <v>2725</v>
      </c>
      <c r="J378" s="44">
        <v>1.1747685185185186E-2</v>
      </c>
      <c r="K378" s="45">
        <v>4.5201388888888888E-2</v>
      </c>
      <c r="L378" s="12" t="s">
        <v>109</v>
      </c>
    </row>
    <row r="379" spans="1:12" ht="14.25" customHeight="1">
      <c r="A379" s="10">
        <v>527</v>
      </c>
      <c r="B379" s="10" t="s">
        <v>2615</v>
      </c>
      <c r="C379" s="12" t="s">
        <v>141</v>
      </c>
      <c r="D379" s="10" t="s">
        <v>2726</v>
      </c>
      <c r="E379" s="10" t="s">
        <v>216</v>
      </c>
      <c r="F379" s="10" t="s">
        <v>2728</v>
      </c>
      <c r="G379" s="10" t="s">
        <v>2729</v>
      </c>
      <c r="H379" s="43" t="s">
        <v>2730</v>
      </c>
      <c r="I379" s="43" t="s">
        <v>2731</v>
      </c>
      <c r="J379" s="44">
        <v>1.4212962962962964E-2</v>
      </c>
      <c r="K379" s="45">
        <v>4.5227662037037035E-2</v>
      </c>
      <c r="L379" s="12" t="s">
        <v>120</v>
      </c>
    </row>
    <row r="380" spans="1:12" ht="14.25" customHeight="1">
      <c r="A380" s="10">
        <v>554</v>
      </c>
      <c r="B380" s="10" t="s">
        <v>2615</v>
      </c>
      <c r="C380" s="12" t="s">
        <v>141</v>
      </c>
      <c r="D380" s="10" t="s">
        <v>2732</v>
      </c>
      <c r="E380" s="10" t="s">
        <v>258</v>
      </c>
      <c r="F380" s="10" t="s">
        <v>2733</v>
      </c>
      <c r="G380" s="10" t="s">
        <v>2734</v>
      </c>
      <c r="H380" s="43" t="s">
        <v>2735</v>
      </c>
      <c r="I380" s="43" t="s">
        <v>2736</v>
      </c>
      <c r="J380" s="44">
        <v>1.2800925925925926E-2</v>
      </c>
      <c r="K380" s="45">
        <v>4.5269328703703704E-2</v>
      </c>
      <c r="L380" s="12" t="s">
        <v>128</v>
      </c>
    </row>
    <row r="381" spans="1:12" ht="14.25" customHeight="1">
      <c r="A381" s="10">
        <v>537</v>
      </c>
      <c r="B381" s="10" t="s">
        <v>2615</v>
      </c>
      <c r="C381" s="12" t="s">
        <v>141</v>
      </c>
      <c r="D381" s="10" t="s">
        <v>2738</v>
      </c>
      <c r="E381" s="10" t="s">
        <v>798</v>
      </c>
      <c r="F381" s="10" t="s">
        <v>2739</v>
      </c>
      <c r="G381" s="10" t="s">
        <v>2740</v>
      </c>
      <c r="H381" s="43" t="s">
        <v>2741</v>
      </c>
      <c r="I381" s="43" t="s">
        <v>2742</v>
      </c>
      <c r="J381" s="44">
        <v>1.1354166666666667E-2</v>
      </c>
      <c r="K381" s="45">
        <v>4.6296064814814818E-2</v>
      </c>
      <c r="L381" s="12" t="s">
        <v>140</v>
      </c>
    </row>
    <row r="382" spans="1:12" ht="14.25" customHeight="1">
      <c r="A382" s="10">
        <v>548</v>
      </c>
      <c r="B382" s="10" t="s">
        <v>2615</v>
      </c>
      <c r="C382" s="12" t="s">
        <v>141</v>
      </c>
      <c r="D382" s="10" t="s">
        <v>2744</v>
      </c>
      <c r="E382" s="10" t="s">
        <v>155</v>
      </c>
      <c r="F382" s="10" t="s">
        <v>2745</v>
      </c>
      <c r="G382" s="10" t="s">
        <v>2746</v>
      </c>
      <c r="H382" s="43" t="s">
        <v>2747</v>
      </c>
      <c r="I382" s="43" t="s">
        <v>2748</v>
      </c>
      <c r="J382" s="44">
        <v>1.4351851851851852E-2</v>
      </c>
      <c r="K382" s="45">
        <v>4.6810069444444442E-2</v>
      </c>
      <c r="L382" s="12" t="s">
        <v>284</v>
      </c>
    </row>
    <row r="383" spans="1:12" ht="14.25" customHeight="1">
      <c r="A383" s="10">
        <v>550</v>
      </c>
      <c r="B383" s="10" t="s">
        <v>2615</v>
      </c>
      <c r="C383" s="12" t="s">
        <v>141</v>
      </c>
      <c r="D383" s="10" t="s">
        <v>2749</v>
      </c>
      <c r="E383" s="10" t="s">
        <v>36</v>
      </c>
      <c r="F383" s="10" t="s">
        <v>2750</v>
      </c>
      <c r="G383" s="10" t="s">
        <v>2751</v>
      </c>
      <c r="H383" s="43" t="s">
        <v>2752</v>
      </c>
      <c r="I383" s="43" t="s">
        <v>2753</v>
      </c>
      <c r="J383" s="44">
        <v>1.2372685185185184E-2</v>
      </c>
      <c r="K383" s="45">
        <v>4.7131134259259258E-2</v>
      </c>
      <c r="L383" s="12" t="s">
        <v>296</v>
      </c>
    </row>
    <row r="384" spans="1:12" ht="14.25" customHeight="1">
      <c r="A384" s="10">
        <v>525</v>
      </c>
      <c r="B384" s="10" t="s">
        <v>2615</v>
      </c>
      <c r="C384" s="12" t="s">
        <v>141</v>
      </c>
      <c r="D384" s="10" t="s">
        <v>2754</v>
      </c>
      <c r="E384" s="10" t="s">
        <v>241</v>
      </c>
      <c r="F384" s="10" t="s">
        <v>1955</v>
      </c>
      <c r="G384" s="10" t="s">
        <v>2755</v>
      </c>
      <c r="H384" s="43" t="s">
        <v>2756</v>
      </c>
      <c r="I384" s="43" t="s">
        <v>2757</v>
      </c>
      <c r="J384" s="44">
        <v>1.474537037037037E-2</v>
      </c>
      <c r="K384" s="45">
        <v>4.7347453703703704E-2</v>
      </c>
      <c r="L384" s="12" t="s">
        <v>309</v>
      </c>
    </row>
    <row r="385" spans="1:12" ht="14.25" customHeight="1">
      <c r="A385" s="10">
        <v>532</v>
      </c>
      <c r="B385" s="10" t="s">
        <v>2615</v>
      </c>
      <c r="C385" s="12" t="s">
        <v>141</v>
      </c>
      <c r="D385" s="10" t="s">
        <v>2758</v>
      </c>
      <c r="E385" s="10" t="s">
        <v>258</v>
      </c>
      <c r="F385" s="10" t="s">
        <v>2759</v>
      </c>
      <c r="G385" s="10" t="s">
        <v>2760</v>
      </c>
      <c r="H385" s="43" t="s">
        <v>2761</v>
      </c>
      <c r="I385" s="43" t="s">
        <v>2762</v>
      </c>
      <c r="J385" s="44">
        <v>1.3217592592592593E-2</v>
      </c>
      <c r="K385" s="45">
        <v>4.7840162037037039E-2</v>
      </c>
      <c r="L385" s="12" t="s">
        <v>321</v>
      </c>
    </row>
    <row r="386" spans="1:12" ht="14.25" customHeight="1">
      <c r="A386" s="10">
        <v>536</v>
      </c>
      <c r="B386" s="10" t="s">
        <v>2615</v>
      </c>
      <c r="C386" s="12" t="s">
        <v>141</v>
      </c>
      <c r="D386" s="10" t="s">
        <v>2763</v>
      </c>
      <c r="E386" s="10" t="s">
        <v>1760</v>
      </c>
      <c r="F386" s="10" t="s">
        <v>2764</v>
      </c>
      <c r="G386" s="10" t="s">
        <v>2765</v>
      </c>
      <c r="H386" s="43" t="s">
        <v>2766</v>
      </c>
      <c r="I386" s="43" t="s">
        <v>2767</v>
      </c>
      <c r="J386" s="44">
        <v>1.4513888888888889E-2</v>
      </c>
      <c r="K386" s="45">
        <v>4.8134027777777776E-2</v>
      </c>
      <c r="L386" s="12" t="s">
        <v>330</v>
      </c>
    </row>
    <row r="387" spans="1:12" ht="14.25" customHeight="1">
      <c r="A387" s="10">
        <v>555</v>
      </c>
      <c r="B387" s="10" t="s">
        <v>2615</v>
      </c>
      <c r="C387" s="12" t="s">
        <v>141</v>
      </c>
      <c r="D387" s="10" t="s">
        <v>2768</v>
      </c>
      <c r="E387" s="10" t="s">
        <v>148</v>
      </c>
      <c r="F387" s="10" t="s">
        <v>2769</v>
      </c>
      <c r="G387" s="10" t="s">
        <v>2770</v>
      </c>
      <c r="H387" s="43" t="s">
        <v>2771</v>
      </c>
      <c r="I387" s="43" t="s">
        <v>2772</v>
      </c>
      <c r="J387" s="44">
        <v>1.2349537037037037E-2</v>
      </c>
      <c r="K387" s="45">
        <v>4.9731944444444447E-2</v>
      </c>
      <c r="L387" s="12" t="s">
        <v>346</v>
      </c>
    </row>
    <row r="388" spans="1:12" ht="14.25" customHeight="1">
      <c r="A388" s="10">
        <v>524</v>
      </c>
      <c r="B388" s="10" t="s">
        <v>2615</v>
      </c>
      <c r="C388" s="12" t="s">
        <v>141</v>
      </c>
      <c r="D388" s="10" t="s">
        <v>2773</v>
      </c>
      <c r="E388" s="10" t="s">
        <v>2505</v>
      </c>
      <c r="F388" s="10" t="s">
        <v>2774</v>
      </c>
      <c r="G388" s="10" t="s">
        <v>2775</v>
      </c>
      <c r="H388" s="43" t="s">
        <v>2776</v>
      </c>
      <c r="I388" s="43" t="s">
        <v>2777</v>
      </c>
      <c r="J388" s="44">
        <v>1.4907407407407407E-2</v>
      </c>
      <c r="K388" s="45">
        <v>4.9966782407407408E-2</v>
      </c>
      <c r="L388" s="12" t="s">
        <v>358</v>
      </c>
    </row>
    <row r="389" spans="1:12" ht="14.25" customHeight="1">
      <c r="A389" s="10">
        <v>545</v>
      </c>
      <c r="B389" s="10" t="s">
        <v>2615</v>
      </c>
      <c r="C389" s="12" t="s">
        <v>141</v>
      </c>
      <c r="D389" s="10" t="s">
        <v>2778</v>
      </c>
      <c r="E389" s="10" t="s">
        <v>624</v>
      </c>
      <c r="F389" s="10" t="s">
        <v>2779</v>
      </c>
      <c r="G389" s="10" t="s">
        <v>2780</v>
      </c>
      <c r="H389" s="43" t="s">
        <v>2781</v>
      </c>
      <c r="I389" s="43" t="s">
        <v>2782</v>
      </c>
      <c r="J389" s="44">
        <v>1.5891203703703703E-2</v>
      </c>
      <c r="K389" s="45">
        <v>5.0931018518518514E-2</v>
      </c>
      <c r="L389" s="12" t="s">
        <v>369</v>
      </c>
    </row>
    <row r="390" spans="1:12" ht="14.25" customHeight="1">
      <c r="A390" s="10">
        <v>546</v>
      </c>
      <c r="B390" s="10" t="s">
        <v>2615</v>
      </c>
      <c r="C390" s="12" t="s">
        <v>141</v>
      </c>
      <c r="D390" s="10" t="s">
        <v>2783</v>
      </c>
      <c r="E390" s="10" t="s">
        <v>337</v>
      </c>
      <c r="F390" s="10" t="s">
        <v>2784</v>
      </c>
      <c r="G390" s="10" t="s">
        <v>2785</v>
      </c>
      <c r="H390" s="43" t="s">
        <v>2786</v>
      </c>
      <c r="I390" s="43" t="s">
        <v>2788</v>
      </c>
      <c r="J390" s="44">
        <v>1.3333333333333334E-2</v>
      </c>
      <c r="K390" s="45">
        <v>5.1442476851851854E-2</v>
      </c>
      <c r="L390" s="12" t="s">
        <v>377</v>
      </c>
    </row>
    <row r="391" spans="1:12" ht="14.25" customHeight="1">
      <c r="A391" s="10">
        <v>528</v>
      </c>
      <c r="B391" s="10" t="s">
        <v>2615</v>
      </c>
      <c r="C391" s="12" t="s">
        <v>141</v>
      </c>
      <c r="D391" s="10" t="s">
        <v>2789</v>
      </c>
      <c r="E391" s="10" t="s">
        <v>148</v>
      </c>
      <c r="F391" s="10" t="s">
        <v>2790</v>
      </c>
      <c r="G391" s="10" t="s">
        <v>2791</v>
      </c>
      <c r="H391" s="43" t="s">
        <v>2792</v>
      </c>
      <c r="I391" s="43" t="s">
        <v>2793</v>
      </c>
      <c r="J391" s="44">
        <v>1.3912037037037037E-2</v>
      </c>
      <c r="K391" s="45">
        <v>5.1770254629629628E-2</v>
      </c>
      <c r="L391" s="12" t="s">
        <v>389</v>
      </c>
    </row>
    <row r="392" spans="1:12" ht="14.25" customHeight="1">
      <c r="A392" s="10">
        <v>517</v>
      </c>
      <c r="B392" s="10" t="s">
        <v>2615</v>
      </c>
      <c r="C392" s="12" t="s">
        <v>141</v>
      </c>
      <c r="D392" s="10" t="s">
        <v>2794</v>
      </c>
      <c r="E392" s="10" t="s">
        <v>112</v>
      </c>
      <c r="F392" s="10" t="s">
        <v>2795</v>
      </c>
      <c r="G392" s="10" t="s">
        <v>2796</v>
      </c>
      <c r="H392" s="43" t="s">
        <v>2797</v>
      </c>
      <c r="I392" s="43" t="s">
        <v>2798</v>
      </c>
      <c r="J392" s="44">
        <v>1.6724537037037038E-2</v>
      </c>
      <c r="K392" s="45">
        <v>5.3005324074074073E-2</v>
      </c>
      <c r="L392" s="12" t="s">
        <v>400</v>
      </c>
    </row>
    <row r="393" spans="1:12" ht="14.25" customHeight="1">
      <c r="A393" s="10">
        <v>538</v>
      </c>
      <c r="B393" s="10" t="s">
        <v>2615</v>
      </c>
      <c r="C393" s="12" t="s">
        <v>141</v>
      </c>
      <c r="D393" s="10" t="s">
        <v>2800</v>
      </c>
      <c r="E393" s="10" t="s">
        <v>241</v>
      </c>
      <c r="F393" s="10" t="s">
        <v>2801</v>
      </c>
      <c r="G393" s="10" t="s">
        <v>2802</v>
      </c>
      <c r="H393" s="43" t="s">
        <v>2803</v>
      </c>
      <c r="I393" s="43" t="s">
        <v>2804</v>
      </c>
      <c r="J393" s="44">
        <v>1.5659722222222221E-2</v>
      </c>
      <c r="K393" s="45">
        <v>5.374583333333334E-2</v>
      </c>
      <c r="L393" s="12" t="s">
        <v>411</v>
      </c>
    </row>
    <row r="394" spans="1:12" ht="14.25" customHeight="1">
      <c r="A394" s="10">
        <v>540</v>
      </c>
      <c r="B394" s="10" t="s">
        <v>2615</v>
      </c>
      <c r="C394" s="12" t="s">
        <v>141</v>
      </c>
      <c r="D394" s="10" t="s">
        <v>2805</v>
      </c>
      <c r="E394" s="10" t="s">
        <v>2432</v>
      </c>
      <c r="F394" s="10" t="s">
        <v>2806</v>
      </c>
      <c r="G394" s="10" t="s">
        <v>2807</v>
      </c>
      <c r="H394" s="43" t="s">
        <v>2808</v>
      </c>
      <c r="I394" s="43" t="s">
        <v>2809</v>
      </c>
      <c r="J394" s="44">
        <v>1.636574074074074E-2</v>
      </c>
      <c r="K394" s="45">
        <v>5.4403935185185187E-2</v>
      </c>
      <c r="L394" s="12" t="s">
        <v>421</v>
      </c>
    </row>
    <row r="395" spans="1:12" ht="14.25" customHeight="1">
      <c r="A395" s="10">
        <v>518</v>
      </c>
      <c r="B395" s="10" t="s">
        <v>2615</v>
      </c>
      <c r="C395" s="12" t="s">
        <v>141</v>
      </c>
      <c r="D395" s="10" t="s">
        <v>2810</v>
      </c>
      <c r="E395" s="10" t="s">
        <v>2537</v>
      </c>
      <c r="F395" s="10" t="s">
        <v>2811</v>
      </c>
      <c r="G395" s="10" t="s">
        <v>2812</v>
      </c>
      <c r="H395" s="43" t="s">
        <v>2813</v>
      </c>
      <c r="I395" s="43" t="s">
        <v>2814</v>
      </c>
      <c r="J395" s="44">
        <v>1.6111111111111111E-2</v>
      </c>
      <c r="K395" s="45">
        <v>5.4609027777777784E-2</v>
      </c>
      <c r="L395" s="12" t="s">
        <v>432</v>
      </c>
    </row>
    <row r="396" spans="1:12" ht="14.25" customHeight="1">
      <c r="A396" s="10">
        <v>520</v>
      </c>
      <c r="B396" s="10" t="s">
        <v>2615</v>
      </c>
      <c r="C396" s="12" t="s">
        <v>141</v>
      </c>
      <c r="D396" s="10" t="s">
        <v>2815</v>
      </c>
      <c r="E396" s="10" t="s">
        <v>275</v>
      </c>
      <c r="F396" s="10" t="s">
        <v>2816</v>
      </c>
      <c r="G396" s="10" t="s">
        <v>2817</v>
      </c>
      <c r="H396" s="43" t="s">
        <v>2818</v>
      </c>
      <c r="I396" s="43" t="s">
        <v>2819</v>
      </c>
      <c r="J396" s="44">
        <v>1.5127314814814816E-2</v>
      </c>
      <c r="K396" s="45">
        <v>5.5690509259259259E-2</v>
      </c>
      <c r="L396" s="12" t="s">
        <v>442</v>
      </c>
    </row>
    <row r="397" spans="1:12" ht="14.25" customHeight="1">
      <c r="A397" s="10">
        <v>530</v>
      </c>
      <c r="B397" s="10" t="s">
        <v>2615</v>
      </c>
      <c r="C397" s="12" t="s">
        <v>141</v>
      </c>
      <c r="D397" s="10" t="s">
        <v>2820</v>
      </c>
      <c r="E397" s="10" t="s">
        <v>2537</v>
      </c>
      <c r="F397" s="10" t="s">
        <v>2821</v>
      </c>
      <c r="G397" s="10" t="s">
        <v>2822</v>
      </c>
      <c r="H397" s="43" t="s">
        <v>2823</v>
      </c>
      <c r="I397" s="43" t="s">
        <v>2824</v>
      </c>
      <c r="J397" s="44">
        <v>1.5821759259259258E-2</v>
      </c>
      <c r="K397" s="45">
        <v>5.6432638888888886E-2</v>
      </c>
      <c r="L397" s="12" t="s">
        <v>455</v>
      </c>
    </row>
    <row r="398" spans="1:12" ht="14.25" customHeight="1">
      <c r="A398" s="10">
        <v>542</v>
      </c>
      <c r="B398" s="10" t="s">
        <v>2615</v>
      </c>
      <c r="C398" s="12" t="s">
        <v>141</v>
      </c>
      <c r="D398" s="10" t="s">
        <v>2825</v>
      </c>
      <c r="E398" s="10" t="s">
        <v>2537</v>
      </c>
      <c r="F398" s="10" t="s">
        <v>2826</v>
      </c>
      <c r="G398" s="10" t="s">
        <v>2827</v>
      </c>
      <c r="H398" s="43" t="s">
        <v>2828</v>
      </c>
      <c r="I398" s="43" t="s">
        <v>2829</v>
      </c>
      <c r="J398" s="44">
        <v>1.5833333333333335E-2</v>
      </c>
      <c r="K398" s="45">
        <v>5.6438888888888886E-2</v>
      </c>
      <c r="L398" s="12" t="s">
        <v>467</v>
      </c>
    </row>
    <row r="399" spans="1:12" ht="14.25" customHeight="1">
      <c r="A399" s="10">
        <v>543</v>
      </c>
      <c r="B399" s="10" t="s">
        <v>2615</v>
      </c>
      <c r="C399" s="12" t="s">
        <v>141</v>
      </c>
      <c r="D399" s="10" t="s">
        <v>2830</v>
      </c>
      <c r="E399" s="10" t="s">
        <v>194</v>
      </c>
      <c r="F399" s="10" t="s">
        <v>2831</v>
      </c>
      <c r="G399" s="10" t="s">
        <v>2832</v>
      </c>
      <c r="H399" s="43" t="s">
        <v>2833</v>
      </c>
      <c r="I399" s="43" t="s">
        <v>2834</v>
      </c>
      <c r="J399" s="44">
        <v>1.7233796296296296E-2</v>
      </c>
      <c r="K399" s="45">
        <v>5.6645486111111115E-2</v>
      </c>
      <c r="L399" s="12" t="s">
        <v>478</v>
      </c>
    </row>
    <row r="400" spans="1:12" ht="14.25" customHeight="1">
      <c r="A400" s="10">
        <v>539</v>
      </c>
      <c r="B400" s="10" t="s">
        <v>2615</v>
      </c>
      <c r="C400" s="12" t="s">
        <v>141</v>
      </c>
      <c r="D400" s="10" t="s">
        <v>2835</v>
      </c>
      <c r="E400" s="10" t="s">
        <v>2432</v>
      </c>
      <c r="F400" s="10" t="s">
        <v>2836</v>
      </c>
      <c r="G400" s="10" t="s">
        <v>2837</v>
      </c>
      <c r="H400" s="43" t="s">
        <v>2838</v>
      </c>
      <c r="I400" s="43" t="s">
        <v>2839</v>
      </c>
      <c r="J400" s="44">
        <v>1.8738425925925926E-2</v>
      </c>
      <c r="K400" s="45">
        <v>5.7447916666666668E-2</v>
      </c>
      <c r="L400" s="12" t="s">
        <v>495</v>
      </c>
    </row>
    <row r="401" spans="1:12" ht="14.25" customHeight="1">
      <c r="A401" s="10">
        <v>553</v>
      </c>
      <c r="B401" s="10" t="s">
        <v>2615</v>
      </c>
      <c r="C401" s="12" t="s">
        <v>141</v>
      </c>
      <c r="D401" s="10" t="s">
        <v>2840</v>
      </c>
      <c r="E401" s="10" t="s">
        <v>148</v>
      </c>
      <c r="F401" s="10" t="s">
        <v>2841</v>
      </c>
      <c r="G401" s="10" t="s">
        <v>2842</v>
      </c>
      <c r="H401" s="43" t="s">
        <v>2843</v>
      </c>
      <c r="I401" s="43" t="s">
        <v>2844</v>
      </c>
      <c r="J401" s="44">
        <v>1.6134259259259258E-2</v>
      </c>
      <c r="K401" s="45">
        <v>5.8926504629629631E-2</v>
      </c>
      <c r="L401" s="12" t="s">
        <v>505</v>
      </c>
    </row>
    <row r="402" spans="1:12" ht="14.25" customHeight="1">
      <c r="A402" s="10">
        <v>544</v>
      </c>
      <c r="B402" s="10" t="s">
        <v>2615</v>
      </c>
      <c r="C402" s="12" t="s">
        <v>141</v>
      </c>
      <c r="D402" s="10" t="s">
        <v>2845</v>
      </c>
      <c r="E402" s="10" t="s">
        <v>624</v>
      </c>
      <c r="F402" s="10" t="s">
        <v>2846</v>
      </c>
      <c r="G402" s="10" t="s">
        <v>2847</v>
      </c>
      <c r="H402" s="43" t="s">
        <v>2848</v>
      </c>
      <c r="I402" s="43" t="s">
        <v>2849</v>
      </c>
      <c r="J402" s="44">
        <v>1.9768518518518519E-2</v>
      </c>
      <c r="K402" s="45">
        <v>5.9749189814814814E-2</v>
      </c>
      <c r="L402" s="12" t="s">
        <v>516</v>
      </c>
    </row>
    <row r="403" spans="1:12" ht="14.25" customHeight="1">
      <c r="A403" s="10">
        <v>541</v>
      </c>
      <c r="B403" s="10" t="s">
        <v>2615</v>
      </c>
      <c r="C403" s="12" t="s">
        <v>141</v>
      </c>
      <c r="D403" s="10" t="s">
        <v>2850</v>
      </c>
      <c r="E403" s="10" t="s">
        <v>216</v>
      </c>
      <c r="F403" s="10" t="s">
        <v>2851</v>
      </c>
      <c r="G403" s="10" t="s">
        <v>2852</v>
      </c>
      <c r="H403" s="43" t="s">
        <v>2853</v>
      </c>
      <c r="I403" s="43" t="s">
        <v>2854</v>
      </c>
      <c r="J403" s="44">
        <v>1.9016203703703705E-2</v>
      </c>
      <c r="K403" s="45">
        <v>6.0545717592592585E-2</v>
      </c>
      <c r="L403" s="12" t="s">
        <v>525</v>
      </c>
    </row>
    <row r="404" spans="1:12" ht="14.25" customHeight="1">
      <c r="A404" s="10">
        <v>556</v>
      </c>
      <c r="B404" s="10" t="s">
        <v>2615</v>
      </c>
      <c r="C404" s="12" t="s">
        <v>141</v>
      </c>
      <c r="D404" s="10" t="s">
        <v>2732</v>
      </c>
      <c r="E404" s="10" t="s">
        <v>337</v>
      </c>
      <c r="F404" s="10" t="s">
        <v>2855</v>
      </c>
      <c r="G404" s="10" t="s">
        <v>2856</v>
      </c>
      <c r="H404" s="43" t="s">
        <v>2857</v>
      </c>
      <c r="I404" s="43" t="s">
        <v>2858</v>
      </c>
      <c r="J404" s="44">
        <v>1.6111111111111111E-2</v>
      </c>
      <c r="K404" s="45">
        <v>6.0792476851851858E-2</v>
      </c>
      <c r="L404" s="12" t="s">
        <v>1928</v>
      </c>
    </row>
    <row r="405" spans="1:12" ht="14.25" customHeight="1">
      <c r="A405" s="10">
        <v>547</v>
      </c>
      <c r="B405" s="10" t="s">
        <v>2615</v>
      </c>
      <c r="C405" s="12" t="s">
        <v>141</v>
      </c>
      <c r="D405" s="10" t="s">
        <v>2860</v>
      </c>
      <c r="E405" s="10" t="s">
        <v>1970</v>
      </c>
      <c r="F405" s="10" t="s">
        <v>2861</v>
      </c>
      <c r="G405" s="10" t="s">
        <v>2862</v>
      </c>
      <c r="H405" s="43" t="s">
        <v>2863</v>
      </c>
      <c r="I405" s="43" t="s">
        <v>2864</v>
      </c>
      <c r="J405" s="44">
        <v>2.4363425925925927E-2</v>
      </c>
      <c r="K405" s="45">
        <v>6.5057175925925928E-2</v>
      </c>
      <c r="L405" s="12" t="s">
        <v>2865</v>
      </c>
    </row>
    <row r="406" spans="1:12" ht="14.25" customHeight="1">
      <c r="A406" s="10">
        <v>519</v>
      </c>
      <c r="B406" s="10" t="s">
        <v>2615</v>
      </c>
      <c r="C406" s="12" t="s">
        <v>141</v>
      </c>
      <c r="D406" s="10" t="s">
        <v>2866</v>
      </c>
      <c r="E406" s="10" t="s">
        <v>624</v>
      </c>
      <c r="F406" s="10" t="s">
        <v>2867</v>
      </c>
      <c r="G406" s="10" t="s">
        <v>2868</v>
      </c>
      <c r="H406" s="43" t="s">
        <v>2869</v>
      </c>
      <c r="I406" s="43" t="s">
        <v>2870</v>
      </c>
      <c r="J406" s="44">
        <v>2.4050925925925927E-2</v>
      </c>
      <c r="K406" s="45">
        <v>7.1053587962962961E-2</v>
      </c>
      <c r="L406" s="12" t="s">
        <v>2871</v>
      </c>
    </row>
    <row r="407" spans="1:12" ht="14.25" customHeight="1">
      <c r="A407" s="10">
        <v>531</v>
      </c>
      <c r="B407" s="10" t="s">
        <v>2615</v>
      </c>
      <c r="C407" s="12" t="s">
        <v>141</v>
      </c>
      <c r="D407" s="10" t="s">
        <v>2873</v>
      </c>
      <c r="E407" s="10" t="s">
        <v>36</v>
      </c>
      <c r="F407" s="10" t="s">
        <v>2874</v>
      </c>
      <c r="G407" s="10" t="s">
        <v>2875</v>
      </c>
      <c r="H407" s="43"/>
      <c r="I407" s="43"/>
      <c r="J407" s="47"/>
      <c r="K407" s="48"/>
      <c r="L407" s="12" t="s">
        <v>557</v>
      </c>
    </row>
    <row r="408" spans="1:12" ht="14.25" customHeight="1">
      <c r="A408" s="10">
        <v>723</v>
      </c>
      <c r="B408" s="10" t="s">
        <v>1954</v>
      </c>
      <c r="C408" s="12" t="s">
        <v>141</v>
      </c>
      <c r="D408" s="10" t="s">
        <v>2876</v>
      </c>
      <c r="E408" s="10" t="s">
        <v>155</v>
      </c>
      <c r="F408" s="10" t="s">
        <v>556</v>
      </c>
      <c r="G408" s="10" t="s">
        <v>556</v>
      </c>
      <c r="H408" s="43"/>
      <c r="I408" s="10" t="s">
        <v>556</v>
      </c>
      <c r="J408" s="47"/>
      <c r="K408" s="48"/>
      <c r="L408" s="12" t="s">
        <v>2877</v>
      </c>
    </row>
    <row r="409" spans="1:12" ht="14.25" customHeight="1">
      <c r="A409" s="10">
        <v>749</v>
      </c>
      <c r="B409" s="10" t="s">
        <v>2066</v>
      </c>
      <c r="C409" s="12" t="s">
        <v>141</v>
      </c>
      <c r="D409" s="10" t="s">
        <v>2878</v>
      </c>
      <c r="E409" s="10" t="s">
        <v>301</v>
      </c>
      <c r="F409" s="10" t="s">
        <v>556</v>
      </c>
      <c r="G409" s="10" t="s">
        <v>556</v>
      </c>
      <c r="H409" s="43"/>
      <c r="I409" s="10" t="s">
        <v>556</v>
      </c>
      <c r="J409" s="47"/>
      <c r="K409" s="48"/>
      <c r="L409" s="12" t="s">
        <v>1949</v>
      </c>
    </row>
    <row r="410" spans="1:12" ht="14.25" customHeight="1">
      <c r="A410" s="10">
        <v>711</v>
      </c>
      <c r="B410" s="10" t="s">
        <v>2158</v>
      </c>
      <c r="C410" s="12" t="s">
        <v>23</v>
      </c>
      <c r="D410" s="10" t="s">
        <v>2879</v>
      </c>
      <c r="E410" s="10" t="s">
        <v>2881</v>
      </c>
      <c r="F410" s="10" t="s">
        <v>556</v>
      </c>
      <c r="G410" s="10" t="s">
        <v>556</v>
      </c>
      <c r="H410" s="43"/>
      <c r="I410" s="10" t="s">
        <v>556</v>
      </c>
      <c r="J410" s="47"/>
      <c r="K410" s="48"/>
      <c r="L410" s="12" t="s">
        <v>1949</v>
      </c>
    </row>
    <row r="411" spans="1:12" ht="14.25" customHeight="1">
      <c r="A411" s="10">
        <v>794</v>
      </c>
      <c r="B411" s="10" t="s">
        <v>2158</v>
      </c>
      <c r="C411" s="12" t="s">
        <v>141</v>
      </c>
      <c r="D411" s="10" t="s">
        <v>2882</v>
      </c>
      <c r="E411" s="10" t="s">
        <v>2083</v>
      </c>
      <c r="F411" s="10" t="s">
        <v>556</v>
      </c>
      <c r="G411" s="10" t="s">
        <v>556</v>
      </c>
      <c r="H411" s="43"/>
      <c r="I411" s="10" t="s">
        <v>556</v>
      </c>
      <c r="J411" s="47"/>
      <c r="K411" s="48"/>
      <c r="L411" s="12" t="s">
        <v>1949</v>
      </c>
    </row>
    <row r="412" spans="1:12" ht="14.25" customHeight="1">
      <c r="A412" s="10">
        <v>777</v>
      </c>
      <c r="B412" s="10" t="s">
        <v>2299</v>
      </c>
      <c r="C412" s="12" t="s">
        <v>141</v>
      </c>
      <c r="D412" s="10" t="s">
        <v>2883</v>
      </c>
      <c r="E412" s="10" t="s">
        <v>72</v>
      </c>
      <c r="F412" s="10" t="s">
        <v>556</v>
      </c>
      <c r="G412" s="10" t="s">
        <v>556</v>
      </c>
      <c r="H412" s="43"/>
      <c r="I412" s="10" t="s">
        <v>556</v>
      </c>
      <c r="J412" s="47"/>
      <c r="K412" s="48"/>
      <c r="L412" s="12" t="s">
        <v>1949</v>
      </c>
    </row>
    <row r="413" spans="1:12" ht="14.25" customHeight="1">
      <c r="A413" s="10">
        <v>787</v>
      </c>
      <c r="B413" s="10" t="s">
        <v>2334</v>
      </c>
      <c r="C413" s="12" t="s">
        <v>141</v>
      </c>
      <c r="D413" s="10" t="s">
        <v>2884</v>
      </c>
      <c r="E413" s="10" t="s">
        <v>36</v>
      </c>
      <c r="F413" s="10" t="s">
        <v>556</v>
      </c>
      <c r="G413" s="10" t="s">
        <v>556</v>
      </c>
      <c r="H413" s="43"/>
      <c r="I413" s="10" t="s">
        <v>556</v>
      </c>
      <c r="J413" s="47"/>
      <c r="K413" s="48"/>
      <c r="L413" s="12" t="s">
        <v>1949</v>
      </c>
    </row>
    <row r="414" spans="1:12" ht="14.25" customHeight="1">
      <c r="A414" s="10">
        <v>791</v>
      </c>
      <c r="B414" s="10" t="s">
        <v>2362</v>
      </c>
      <c r="C414" s="12" t="s">
        <v>141</v>
      </c>
      <c r="D414" s="10" t="s">
        <v>2886</v>
      </c>
      <c r="E414" s="10" t="s">
        <v>36</v>
      </c>
      <c r="F414" s="10" t="s">
        <v>556</v>
      </c>
      <c r="G414" s="10" t="s">
        <v>556</v>
      </c>
      <c r="H414" s="43"/>
      <c r="I414" s="10" t="s">
        <v>556</v>
      </c>
      <c r="J414" s="47"/>
      <c r="K414" s="48"/>
      <c r="L414" s="12" t="s">
        <v>2877</v>
      </c>
    </row>
    <row r="415" spans="1:12" ht="14.25" customHeight="1">
      <c r="A415" s="10">
        <v>652</v>
      </c>
      <c r="B415" s="10" t="s">
        <v>1543</v>
      </c>
      <c r="C415" s="12" t="s">
        <v>141</v>
      </c>
      <c r="D415" s="10" t="s">
        <v>2887</v>
      </c>
      <c r="E415" s="10" t="s">
        <v>2416</v>
      </c>
      <c r="F415" s="10" t="s">
        <v>556</v>
      </c>
      <c r="G415" s="10" t="s">
        <v>556</v>
      </c>
      <c r="H415" s="43"/>
      <c r="I415" s="10" t="s">
        <v>556</v>
      </c>
      <c r="J415" s="47"/>
      <c r="K415" s="48"/>
      <c r="L415" s="12" t="s">
        <v>2877</v>
      </c>
    </row>
    <row r="416" spans="1:12" ht="14.25" customHeight="1">
      <c r="A416" s="10">
        <v>529</v>
      </c>
      <c r="B416" s="10" t="s">
        <v>2615</v>
      </c>
      <c r="C416" s="12" t="s">
        <v>141</v>
      </c>
      <c r="D416" s="10" t="s">
        <v>2889</v>
      </c>
      <c r="E416" s="10" t="s">
        <v>194</v>
      </c>
      <c r="F416" s="10" t="s">
        <v>556</v>
      </c>
      <c r="G416" s="10" t="s">
        <v>556</v>
      </c>
      <c r="H416" s="43"/>
      <c r="I416" s="10" t="s">
        <v>556</v>
      </c>
      <c r="J416" s="47"/>
      <c r="K416" s="48"/>
      <c r="L416" s="12" t="s">
        <v>1949</v>
      </c>
    </row>
    <row r="417" spans="3:12" ht="14.25" customHeight="1">
      <c r="C417" s="59"/>
      <c r="K417" s="60"/>
      <c r="L417" s="59"/>
    </row>
    <row r="418" spans="3:12" ht="14.25" customHeight="1">
      <c r="C418" s="59"/>
      <c r="K418" s="60"/>
      <c r="L418" s="59"/>
    </row>
    <row r="419" spans="3:12" ht="14.25" customHeight="1">
      <c r="C419" s="59"/>
      <c r="K419" s="60"/>
      <c r="L419" s="59"/>
    </row>
    <row r="420" spans="3:12" ht="14.25" customHeight="1">
      <c r="C420" s="59"/>
      <c r="K420" s="60"/>
      <c r="L420" s="59"/>
    </row>
    <row r="421" spans="3:12" ht="14.25" customHeight="1">
      <c r="C421" s="59"/>
      <c r="K421" s="60"/>
      <c r="L421" s="59"/>
    </row>
    <row r="422" spans="3:12" ht="14.25" customHeight="1">
      <c r="C422" s="59"/>
      <c r="K422" s="60"/>
      <c r="L422" s="59"/>
    </row>
    <row r="423" spans="3:12" ht="14.25" customHeight="1">
      <c r="C423" s="59"/>
      <c r="K423" s="60"/>
      <c r="L423" s="59"/>
    </row>
    <row r="424" spans="3:12" ht="14.25" customHeight="1">
      <c r="C424" s="59"/>
      <c r="K424" s="60"/>
      <c r="L424" s="59"/>
    </row>
    <row r="425" spans="3:12" ht="14.25" customHeight="1">
      <c r="C425" s="59"/>
      <c r="K425" s="60"/>
      <c r="L425" s="59"/>
    </row>
    <row r="426" spans="3:12" ht="14.25" customHeight="1">
      <c r="C426" s="59"/>
      <c r="K426" s="60"/>
      <c r="L426" s="59"/>
    </row>
    <row r="427" spans="3:12" ht="14.25" customHeight="1">
      <c r="C427" s="59"/>
      <c r="K427" s="60"/>
      <c r="L427" s="59"/>
    </row>
    <row r="428" spans="3:12" ht="14.25" customHeight="1">
      <c r="C428" s="59"/>
      <c r="K428" s="60"/>
      <c r="L428" s="59"/>
    </row>
    <row r="429" spans="3:12" ht="14.25" customHeight="1">
      <c r="C429" s="59"/>
      <c r="K429" s="60"/>
      <c r="L429" s="59"/>
    </row>
    <row r="430" spans="3:12" ht="14.25" customHeight="1">
      <c r="C430" s="59"/>
      <c r="K430" s="60"/>
      <c r="L430" s="59"/>
    </row>
    <row r="431" spans="3:12" ht="14.25" customHeight="1">
      <c r="C431" s="59"/>
      <c r="K431" s="60"/>
      <c r="L431" s="59"/>
    </row>
    <row r="432" spans="3:12" ht="14.25" customHeight="1">
      <c r="C432" s="59"/>
      <c r="K432" s="60"/>
      <c r="L432" s="59"/>
    </row>
    <row r="433" spans="3:12" ht="14.25" customHeight="1">
      <c r="C433" s="59"/>
      <c r="K433" s="60"/>
      <c r="L433" s="59"/>
    </row>
    <row r="434" spans="3:12" ht="14.25" customHeight="1">
      <c r="C434" s="59"/>
      <c r="K434" s="60"/>
      <c r="L434" s="59"/>
    </row>
    <row r="435" spans="3:12" ht="14.25" customHeight="1">
      <c r="C435" s="59"/>
      <c r="K435" s="60"/>
      <c r="L435" s="59"/>
    </row>
    <row r="436" spans="3:12" ht="14.25" customHeight="1">
      <c r="C436" s="59"/>
      <c r="K436" s="60"/>
      <c r="L436" s="59"/>
    </row>
    <row r="437" spans="3:12" ht="14.25" customHeight="1">
      <c r="C437" s="59"/>
      <c r="K437" s="60"/>
      <c r="L437" s="59"/>
    </row>
    <row r="438" spans="3:12" ht="14.25" customHeight="1">
      <c r="C438" s="59"/>
      <c r="K438" s="60"/>
      <c r="L438" s="59"/>
    </row>
    <row r="439" spans="3:12" ht="14.25" customHeight="1">
      <c r="C439" s="59"/>
      <c r="K439" s="60"/>
      <c r="L439" s="59"/>
    </row>
    <row r="440" spans="3:12" ht="14.25" customHeight="1">
      <c r="C440" s="59"/>
      <c r="K440" s="60"/>
      <c r="L440" s="59"/>
    </row>
    <row r="441" spans="3:12" ht="14.25" customHeight="1">
      <c r="C441" s="59"/>
      <c r="K441" s="60"/>
      <c r="L441" s="59"/>
    </row>
    <row r="442" spans="3:12" ht="14.25" customHeight="1">
      <c r="C442" s="59"/>
      <c r="K442" s="60"/>
      <c r="L442" s="59"/>
    </row>
    <row r="443" spans="3:12" ht="14.25" customHeight="1">
      <c r="C443" s="59"/>
      <c r="K443" s="60"/>
      <c r="L443" s="59"/>
    </row>
    <row r="444" spans="3:12" ht="14.25" customHeight="1">
      <c r="C444" s="59"/>
      <c r="K444" s="60"/>
      <c r="L444" s="59"/>
    </row>
    <row r="445" spans="3:12" ht="14.25" customHeight="1">
      <c r="C445" s="59"/>
      <c r="K445" s="60"/>
      <c r="L445" s="59"/>
    </row>
    <row r="446" spans="3:12" ht="14.25" customHeight="1">
      <c r="C446" s="59"/>
      <c r="K446" s="60"/>
      <c r="L446" s="59"/>
    </row>
    <row r="447" spans="3:12" ht="14.25" customHeight="1">
      <c r="C447" s="59"/>
      <c r="K447" s="60"/>
      <c r="L447" s="59"/>
    </row>
    <row r="448" spans="3:12" ht="14.25" customHeight="1">
      <c r="C448" s="59"/>
      <c r="K448" s="60"/>
      <c r="L448" s="59"/>
    </row>
    <row r="449" spans="3:12" ht="14.25" customHeight="1">
      <c r="C449" s="59"/>
      <c r="K449" s="60"/>
      <c r="L449" s="59"/>
    </row>
    <row r="450" spans="3:12" ht="14.25" customHeight="1">
      <c r="C450" s="59"/>
      <c r="K450" s="60"/>
      <c r="L450" s="59"/>
    </row>
    <row r="451" spans="3:12" ht="14.25" customHeight="1">
      <c r="C451" s="59"/>
      <c r="K451" s="60"/>
      <c r="L451" s="59"/>
    </row>
    <row r="452" spans="3:12" ht="14.25" customHeight="1">
      <c r="C452" s="59"/>
      <c r="K452" s="60"/>
      <c r="L452" s="59"/>
    </row>
    <row r="453" spans="3:12" ht="14.25" customHeight="1">
      <c r="C453" s="59"/>
      <c r="K453" s="60"/>
      <c r="L453" s="59"/>
    </row>
    <row r="454" spans="3:12" ht="14.25" customHeight="1">
      <c r="C454" s="59"/>
      <c r="K454" s="60"/>
      <c r="L454" s="59"/>
    </row>
    <row r="455" spans="3:12" ht="14.25" customHeight="1">
      <c r="C455" s="59"/>
      <c r="K455" s="60"/>
      <c r="L455" s="59"/>
    </row>
    <row r="456" spans="3:12" ht="14.25" customHeight="1">
      <c r="C456" s="59"/>
      <c r="K456" s="60"/>
      <c r="L456" s="59"/>
    </row>
    <row r="457" spans="3:12" ht="14.25" customHeight="1">
      <c r="C457" s="59"/>
      <c r="K457" s="60"/>
      <c r="L457" s="59"/>
    </row>
    <row r="458" spans="3:12" ht="14.25" customHeight="1">
      <c r="C458" s="59"/>
      <c r="K458" s="60"/>
      <c r="L458" s="59"/>
    </row>
    <row r="459" spans="3:12" ht="14.25" customHeight="1">
      <c r="C459" s="59"/>
      <c r="K459" s="60"/>
      <c r="L459" s="59"/>
    </row>
    <row r="460" spans="3:12" ht="14.25" customHeight="1">
      <c r="C460" s="59"/>
      <c r="K460" s="60"/>
      <c r="L460" s="59"/>
    </row>
    <row r="461" spans="3:12" ht="14.25" customHeight="1">
      <c r="C461" s="59"/>
      <c r="K461" s="60"/>
      <c r="L461" s="59"/>
    </row>
    <row r="462" spans="3:12" ht="14.25" customHeight="1">
      <c r="C462" s="59"/>
      <c r="K462" s="60"/>
      <c r="L462" s="59"/>
    </row>
    <row r="463" spans="3:12" ht="14.25" customHeight="1">
      <c r="C463" s="59"/>
      <c r="K463" s="60"/>
      <c r="L463" s="59"/>
    </row>
    <row r="464" spans="3:12" ht="14.25" customHeight="1">
      <c r="C464" s="59"/>
      <c r="K464" s="60"/>
      <c r="L464" s="59"/>
    </row>
    <row r="465" spans="3:12" ht="14.25" customHeight="1">
      <c r="C465" s="59"/>
      <c r="K465" s="60"/>
      <c r="L465" s="59"/>
    </row>
    <row r="466" spans="3:12" ht="14.25" customHeight="1">
      <c r="C466" s="59"/>
      <c r="K466" s="60"/>
      <c r="L466" s="59"/>
    </row>
    <row r="467" spans="3:12" ht="14.25" customHeight="1">
      <c r="C467" s="59"/>
      <c r="K467" s="60"/>
      <c r="L467" s="59"/>
    </row>
    <row r="468" spans="3:12" ht="14.25" customHeight="1">
      <c r="C468" s="59"/>
      <c r="K468" s="60"/>
      <c r="L468" s="59"/>
    </row>
    <row r="469" spans="3:12" ht="14.25" customHeight="1">
      <c r="C469" s="59"/>
      <c r="K469" s="60"/>
      <c r="L469" s="59"/>
    </row>
    <row r="470" spans="3:12" ht="14.25" customHeight="1">
      <c r="C470" s="59"/>
      <c r="K470" s="60"/>
      <c r="L470" s="59"/>
    </row>
    <row r="471" spans="3:12" ht="14.25" customHeight="1">
      <c r="C471" s="59"/>
      <c r="K471" s="60"/>
      <c r="L471" s="59"/>
    </row>
    <row r="472" spans="3:12" ht="14.25" customHeight="1">
      <c r="C472" s="59"/>
      <c r="K472" s="60"/>
      <c r="L472" s="59"/>
    </row>
    <row r="473" spans="3:12" ht="14.25" customHeight="1">
      <c r="C473" s="59"/>
      <c r="K473" s="60"/>
      <c r="L473" s="59"/>
    </row>
    <row r="474" spans="3:12" ht="14.25" customHeight="1">
      <c r="C474" s="59"/>
      <c r="K474" s="60"/>
      <c r="L474" s="59"/>
    </row>
    <row r="475" spans="3:12" ht="14.25" customHeight="1">
      <c r="C475" s="59"/>
      <c r="K475" s="60"/>
      <c r="L475" s="59"/>
    </row>
    <row r="476" spans="3:12" ht="14.25" customHeight="1">
      <c r="C476" s="59"/>
      <c r="K476" s="60"/>
      <c r="L476" s="59"/>
    </row>
    <row r="477" spans="3:12" ht="14.25" customHeight="1">
      <c r="C477" s="59"/>
      <c r="K477" s="60"/>
      <c r="L477" s="59"/>
    </row>
    <row r="478" spans="3:12" ht="14.25" customHeight="1">
      <c r="C478" s="59"/>
      <c r="K478" s="60"/>
      <c r="L478" s="59"/>
    </row>
    <row r="479" spans="3:12" ht="14.25" customHeight="1">
      <c r="C479" s="59"/>
      <c r="K479" s="60"/>
      <c r="L479" s="59"/>
    </row>
    <row r="480" spans="3:12" ht="14.25" customHeight="1">
      <c r="C480" s="59"/>
      <c r="K480" s="60"/>
      <c r="L480" s="59"/>
    </row>
    <row r="481" spans="3:12" ht="14.25" customHeight="1">
      <c r="C481" s="59"/>
      <c r="K481" s="60"/>
      <c r="L481" s="59"/>
    </row>
    <row r="482" spans="3:12" ht="14.25" customHeight="1">
      <c r="C482" s="59"/>
      <c r="K482" s="60"/>
      <c r="L482" s="59"/>
    </row>
    <row r="483" spans="3:12" ht="14.25" customHeight="1">
      <c r="C483" s="59"/>
      <c r="K483" s="60"/>
      <c r="L483" s="59"/>
    </row>
    <row r="484" spans="3:12" ht="14.25" customHeight="1">
      <c r="C484" s="59"/>
      <c r="K484" s="60"/>
      <c r="L484" s="59"/>
    </row>
    <row r="485" spans="3:12" ht="14.25" customHeight="1">
      <c r="C485" s="59"/>
      <c r="K485" s="60"/>
      <c r="L485" s="59"/>
    </row>
    <row r="486" spans="3:12" ht="14.25" customHeight="1">
      <c r="C486" s="59"/>
      <c r="K486" s="60"/>
      <c r="L486" s="59"/>
    </row>
    <row r="487" spans="3:12" ht="14.25" customHeight="1">
      <c r="C487" s="59"/>
      <c r="K487" s="60"/>
      <c r="L487" s="59"/>
    </row>
    <row r="488" spans="3:12" ht="14.25" customHeight="1">
      <c r="C488" s="59"/>
      <c r="K488" s="60"/>
      <c r="L488" s="59"/>
    </row>
    <row r="489" spans="3:12" ht="14.25" customHeight="1">
      <c r="C489" s="59"/>
      <c r="K489" s="60"/>
      <c r="L489" s="59"/>
    </row>
    <row r="490" spans="3:12" ht="14.25" customHeight="1">
      <c r="C490" s="59"/>
      <c r="K490" s="60"/>
      <c r="L490" s="59"/>
    </row>
    <row r="491" spans="3:12" ht="14.25" customHeight="1">
      <c r="C491" s="59"/>
      <c r="K491" s="60"/>
      <c r="L491" s="59"/>
    </row>
    <row r="492" spans="3:12" ht="14.25" customHeight="1">
      <c r="C492" s="59"/>
      <c r="K492" s="60"/>
      <c r="L492" s="59"/>
    </row>
    <row r="493" spans="3:12" ht="14.25" customHeight="1">
      <c r="C493" s="59"/>
      <c r="K493" s="60"/>
      <c r="L493" s="59"/>
    </row>
    <row r="494" spans="3:12" ht="14.25" customHeight="1">
      <c r="C494" s="59"/>
      <c r="K494" s="60"/>
      <c r="L494" s="59"/>
    </row>
    <row r="495" spans="3:12" ht="14.25" customHeight="1">
      <c r="C495" s="59"/>
      <c r="K495" s="60"/>
      <c r="L495" s="59"/>
    </row>
    <row r="496" spans="3:12" ht="14.25" customHeight="1">
      <c r="C496" s="59"/>
      <c r="K496" s="60"/>
      <c r="L496" s="59"/>
    </row>
    <row r="497" spans="3:12" ht="14.25" customHeight="1">
      <c r="C497" s="59"/>
      <c r="K497" s="60"/>
      <c r="L497" s="59"/>
    </row>
    <row r="498" spans="3:12" ht="14.25" customHeight="1">
      <c r="C498" s="59"/>
      <c r="K498" s="60"/>
      <c r="L498" s="59"/>
    </row>
    <row r="499" spans="3:12" ht="14.25" customHeight="1">
      <c r="C499" s="59"/>
      <c r="K499" s="60"/>
      <c r="L499" s="59"/>
    </row>
    <row r="500" spans="3:12" ht="14.25" customHeight="1">
      <c r="C500" s="59"/>
      <c r="K500" s="60"/>
      <c r="L500" s="59"/>
    </row>
    <row r="501" spans="3:12" ht="14.25" customHeight="1">
      <c r="C501" s="59"/>
      <c r="K501" s="60"/>
      <c r="L501" s="59"/>
    </row>
    <row r="502" spans="3:12" ht="14.25" customHeight="1">
      <c r="C502" s="59"/>
      <c r="K502" s="60"/>
      <c r="L502" s="59"/>
    </row>
    <row r="503" spans="3:12" ht="14.25" customHeight="1">
      <c r="C503" s="59"/>
      <c r="K503" s="60"/>
      <c r="L503" s="59"/>
    </row>
    <row r="504" spans="3:12" ht="14.25" customHeight="1">
      <c r="C504" s="59"/>
      <c r="K504" s="60"/>
      <c r="L504" s="59"/>
    </row>
    <row r="505" spans="3:12" ht="14.25" customHeight="1">
      <c r="C505" s="59"/>
      <c r="K505" s="60"/>
      <c r="L505" s="59"/>
    </row>
    <row r="506" spans="3:12" ht="14.25" customHeight="1">
      <c r="C506" s="59"/>
      <c r="K506" s="60"/>
      <c r="L506" s="59"/>
    </row>
    <row r="507" spans="3:12" ht="14.25" customHeight="1">
      <c r="C507" s="59"/>
      <c r="K507" s="60"/>
      <c r="L507" s="59"/>
    </row>
    <row r="508" spans="3:12" ht="14.25" customHeight="1">
      <c r="C508" s="59"/>
      <c r="K508" s="60"/>
      <c r="L508" s="59"/>
    </row>
    <row r="509" spans="3:12" ht="14.25" customHeight="1">
      <c r="C509" s="59"/>
      <c r="K509" s="60"/>
      <c r="L509" s="59"/>
    </row>
    <row r="510" spans="3:12" ht="14.25" customHeight="1">
      <c r="C510" s="59"/>
      <c r="K510" s="60"/>
      <c r="L510" s="59"/>
    </row>
    <row r="511" spans="3:12" ht="14.25" customHeight="1">
      <c r="C511" s="59"/>
      <c r="K511" s="60"/>
      <c r="L511" s="59"/>
    </row>
    <row r="512" spans="3:12" ht="14.25" customHeight="1">
      <c r="C512" s="59"/>
      <c r="K512" s="60"/>
      <c r="L512" s="59"/>
    </row>
    <row r="513" spans="3:12" ht="14.25" customHeight="1">
      <c r="C513" s="59"/>
      <c r="K513" s="60"/>
      <c r="L513" s="59"/>
    </row>
    <row r="514" spans="3:12" ht="14.25" customHeight="1">
      <c r="C514" s="59"/>
      <c r="K514" s="60"/>
      <c r="L514" s="59"/>
    </row>
    <row r="515" spans="3:12" ht="14.25" customHeight="1">
      <c r="C515" s="59"/>
      <c r="K515" s="60"/>
      <c r="L515" s="59"/>
    </row>
    <row r="516" spans="3:12" ht="14.25" customHeight="1">
      <c r="C516" s="59"/>
      <c r="K516" s="60"/>
      <c r="L516" s="59"/>
    </row>
    <row r="517" spans="3:12" ht="14.25" customHeight="1">
      <c r="C517" s="59"/>
      <c r="K517" s="60"/>
      <c r="L517" s="59"/>
    </row>
    <row r="518" spans="3:12" ht="14.25" customHeight="1">
      <c r="C518" s="59"/>
      <c r="K518" s="60"/>
      <c r="L518" s="59"/>
    </row>
    <row r="519" spans="3:12" ht="14.25" customHeight="1">
      <c r="C519" s="59"/>
      <c r="K519" s="60"/>
      <c r="L519" s="59"/>
    </row>
    <row r="520" spans="3:12" ht="14.25" customHeight="1">
      <c r="C520" s="59"/>
      <c r="K520" s="60"/>
      <c r="L520" s="59"/>
    </row>
    <row r="521" spans="3:12" ht="14.25" customHeight="1">
      <c r="C521" s="59"/>
      <c r="K521" s="60"/>
      <c r="L521" s="59"/>
    </row>
    <row r="522" spans="3:12" ht="14.25" customHeight="1">
      <c r="C522" s="59"/>
      <c r="K522" s="60"/>
      <c r="L522" s="59"/>
    </row>
    <row r="523" spans="3:12" ht="14.25" customHeight="1">
      <c r="C523" s="59"/>
      <c r="K523" s="60"/>
      <c r="L523" s="59"/>
    </row>
    <row r="524" spans="3:12" ht="14.25" customHeight="1">
      <c r="C524" s="59"/>
      <c r="K524" s="60"/>
      <c r="L524" s="59"/>
    </row>
    <row r="525" spans="3:12" ht="14.25" customHeight="1">
      <c r="C525" s="59"/>
      <c r="K525" s="60"/>
      <c r="L525" s="59"/>
    </row>
    <row r="526" spans="3:12" ht="14.25" customHeight="1">
      <c r="C526" s="59"/>
      <c r="K526" s="60"/>
      <c r="L526" s="59"/>
    </row>
    <row r="527" spans="3:12" ht="14.25" customHeight="1">
      <c r="C527" s="59"/>
      <c r="K527" s="60"/>
      <c r="L527" s="59"/>
    </row>
    <row r="528" spans="3:12" ht="14.25" customHeight="1">
      <c r="C528" s="59"/>
      <c r="K528" s="60"/>
      <c r="L528" s="59"/>
    </row>
    <row r="529" spans="3:12" ht="14.25" customHeight="1">
      <c r="C529" s="59"/>
      <c r="K529" s="60"/>
      <c r="L529" s="59"/>
    </row>
    <row r="530" spans="3:12" ht="14.25" customHeight="1">
      <c r="C530" s="59"/>
      <c r="K530" s="60"/>
      <c r="L530" s="59"/>
    </row>
    <row r="531" spans="3:12" ht="14.25" customHeight="1">
      <c r="C531" s="59"/>
      <c r="K531" s="60"/>
      <c r="L531" s="59"/>
    </row>
    <row r="532" spans="3:12" ht="14.25" customHeight="1">
      <c r="C532" s="59"/>
      <c r="K532" s="60"/>
      <c r="L532" s="59"/>
    </row>
    <row r="533" spans="3:12" ht="14.25" customHeight="1">
      <c r="C533" s="59"/>
      <c r="K533" s="60"/>
      <c r="L533" s="59"/>
    </row>
    <row r="534" spans="3:12" ht="14.25" customHeight="1">
      <c r="C534" s="59"/>
      <c r="K534" s="60"/>
      <c r="L534" s="59"/>
    </row>
    <row r="535" spans="3:12" ht="14.25" customHeight="1">
      <c r="C535" s="59"/>
      <c r="K535" s="60"/>
      <c r="L535" s="59"/>
    </row>
    <row r="536" spans="3:12" ht="14.25" customHeight="1">
      <c r="C536" s="59"/>
      <c r="K536" s="60"/>
      <c r="L536" s="59"/>
    </row>
    <row r="537" spans="3:12" ht="14.25" customHeight="1">
      <c r="C537" s="59"/>
      <c r="K537" s="60"/>
      <c r="L537" s="59"/>
    </row>
    <row r="538" spans="3:12" ht="14.25" customHeight="1">
      <c r="C538" s="59"/>
      <c r="K538" s="60"/>
      <c r="L538" s="59"/>
    </row>
    <row r="539" spans="3:12" ht="14.25" customHeight="1">
      <c r="C539" s="59"/>
      <c r="K539" s="60"/>
      <c r="L539" s="59"/>
    </row>
    <row r="540" spans="3:12" ht="14.25" customHeight="1">
      <c r="C540" s="59"/>
      <c r="K540" s="60"/>
      <c r="L540" s="59"/>
    </row>
    <row r="541" spans="3:12" ht="14.25" customHeight="1">
      <c r="C541" s="59"/>
      <c r="K541" s="60"/>
      <c r="L541" s="59"/>
    </row>
    <row r="542" spans="3:12" ht="14.25" customHeight="1">
      <c r="C542" s="59"/>
      <c r="K542" s="60"/>
      <c r="L542" s="59"/>
    </row>
    <row r="543" spans="3:12" ht="14.25" customHeight="1">
      <c r="C543" s="59"/>
      <c r="K543" s="60"/>
      <c r="L543" s="59"/>
    </row>
    <row r="544" spans="3:12" ht="14.25" customHeight="1">
      <c r="C544" s="59"/>
      <c r="K544" s="60"/>
      <c r="L544" s="59"/>
    </row>
    <row r="545" spans="3:12" ht="14.25" customHeight="1">
      <c r="C545" s="59"/>
      <c r="K545" s="60"/>
      <c r="L545" s="59"/>
    </row>
    <row r="546" spans="3:12" ht="14.25" customHeight="1">
      <c r="C546" s="59"/>
      <c r="K546" s="60"/>
      <c r="L546" s="59"/>
    </row>
    <row r="547" spans="3:12" ht="14.25" customHeight="1">
      <c r="C547" s="59"/>
      <c r="K547" s="60"/>
      <c r="L547" s="59"/>
    </row>
    <row r="548" spans="3:12" ht="14.25" customHeight="1">
      <c r="C548" s="59"/>
      <c r="K548" s="60"/>
      <c r="L548" s="59"/>
    </row>
    <row r="549" spans="3:12" ht="14.25" customHeight="1">
      <c r="C549" s="59"/>
      <c r="K549" s="60"/>
      <c r="L549" s="59"/>
    </row>
    <row r="550" spans="3:12" ht="14.25" customHeight="1">
      <c r="C550" s="59"/>
      <c r="K550" s="60"/>
      <c r="L550" s="59"/>
    </row>
    <row r="551" spans="3:12" ht="14.25" customHeight="1">
      <c r="C551" s="59"/>
      <c r="K551" s="60"/>
      <c r="L551" s="59"/>
    </row>
    <row r="552" spans="3:12" ht="14.25" customHeight="1">
      <c r="C552" s="59"/>
      <c r="K552" s="60"/>
      <c r="L552" s="59"/>
    </row>
    <row r="553" spans="3:12" ht="14.25" customHeight="1">
      <c r="C553" s="59"/>
      <c r="K553" s="60"/>
      <c r="L553" s="59"/>
    </row>
    <row r="554" spans="3:12" ht="14.25" customHeight="1">
      <c r="C554" s="59"/>
      <c r="K554" s="60"/>
      <c r="L554" s="59"/>
    </row>
    <row r="555" spans="3:12" ht="14.25" customHeight="1">
      <c r="C555" s="59"/>
      <c r="K555" s="60"/>
      <c r="L555" s="59"/>
    </row>
    <row r="556" spans="3:12" ht="14.25" customHeight="1">
      <c r="C556" s="59"/>
      <c r="K556" s="60"/>
      <c r="L556" s="59"/>
    </row>
    <row r="557" spans="3:12" ht="14.25" customHeight="1">
      <c r="C557" s="59"/>
      <c r="K557" s="60"/>
      <c r="L557" s="59"/>
    </row>
    <row r="558" spans="3:12" ht="14.25" customHeight="1">
      <c r="C558" s="59"/>
      <c r="K558" s="60"/>
      <c r="L558" s="59"/>
    </row>
    <row r="559" spans="3:12" ht="14.25" customHeight="1">
      <c r="C559" s="59"/>
      <c r="K559" s="60"/>
      <c r="L559" s="59"/>
    </row>
    <row r="560" spans="3:12" ht="14.25" customHeight="1">
      <c r="C560" s="59"/>
      <c r="K560" s="60"/>
      <c r="L560" s="59"/>
    </row>
    <row r="561" spans="3:12" ht="14.25" customHeight="1">
      <c r="C561" s="59"/>
      <c r="K561" s="60"/>
      <c r="L561" s="59"/>
    </row>
    <row r="562" spans="3:12" ht="14.25" customHeight="1">
      <c r="C562" s="59"/>
      <c r="K562" s="60"/>
      <c r="L562" s="59"/>
    </row>
    <row r="563" spans="3:12" ht="14.25" customHeight="1">
      <c r="C563" s="59"/>
      <c r="K563" s="60"/>
      <c r="L563" s="59"/>
    </row>
    <row r="564" spans="3:12" ht="14.25" customHeight="1">
      <c r="C564" s="59"/>
      <c r="K564" s="60"/>
      <c r="L564" s="59"/>
    </row>
    <row r="565" spans="3:12" ht="14.25" customHeight="1">
      <c r="C565" s="59"/>
      <c r="K565" s="60"/>
      <c r="L565" s="59"/>
    </row>
    <row r="566" spans="3:12" ht="14.25" customHeight="1">
      <c r="C566" s="59"/>
      <c r="K566" s="60"/>
      <c r="L566" s="59"/>
    </row>
    <row r="567" spans="3:12" ht="14.25" customHeight="1">
      <c r="C567" s="59"/>
      <c r="K567" s="60"/>
      <c r="L567" s="59"/>
    </row>
    <row r="568" spans="3:12" ht="14.25" customHeight="1">
      <c r="C568" s="59"/>
      <c r="K568" s="60"/>
      <c r="L568" s="59"/>
    </row>
    <row r="569" spans="3:12" ht="14.25" customHeight="1">
      <c r="C569" s="59"/>
      <c r="K569" s="60"/>
      <c r="L569" s="59"/>
    </row>
    <row r="570" spans="3:12" ht="14.25" customHeight="1">
      <c r="C570" s="59"/>
      <c r="K570" s="60"/>
      <c r="L570" s="59"/>
    </row>
    <row r="571" spans="3:12" ht="14.25" customHeight="1">
      <c r="C571" s="59"/>
      <c r="K571" s="60"/>
      <c r="L571" s="59"/>
    </row>
    <row r="572" spans="3:12" ht="14.25" customHeight="1">
      <c r="C572" s="59"/>
      <c r="K572" s="60"/>
      <c r="L572" s="59"/>
    </row>
    <row r="573" spans="3:12" ht="14.25" customHeight="1">
      <c r="C573" s="59"/>
      <c r="K573" s="60"/>
      <c r="L573" s="59"/>
    </row>
    <row r="574" spans="3:12" ht="14.25" customHeight="1">
      <c r="C574" s="59"/>
      <c r="K574" s="60"/>
      <c r="L574" s="59"/>
    </row>
    <row r="575" spans="3:12" ht="14.25" customHeight="1">
      <c r="C575" s="59"/>
      <c r="K575" s="60"/>
      <c r="L575" s="59"/>
    </row>
    <row r="576" spans="3:12" ht="14.25" customHeight="1">
      <c r="C576" s="59"/>
      <c r="K576" s="60"/>
      <c r="L576" s="59"/>
    </row>
    <row r="577" spans="3:12" ht="14.25" customHeight="1">
      <c r="C577" s="59"/>
      <c r="K577" s="60"/>
      <c r="L577" s="59"/>
    </row>
    <row r="578" spans="3:12" ht="14.25" customHeight="1">
      <c r="C578" s="59"/>
      <c r="K578" s="60"/>
      <c r="L578" s="59"/>
    </row>
    <row r="579" spans="3:12" ht="14.25" customHeight="1">
      <c r="C579" s="59"/>
      <c r="K579" s="60"/>
      <c r="L579" s="59"/>
    </row>
    <row r="580" spans="3:12" ht="14.25" customHeight="1">
      <c r="C580" s="59"/>
      <c r="K580" s="60"/>
      <c r="L580" s="59"/>
    </row>
    <row r="581" spans="3:12" ht="14.25" customHeight="1">
      <c r="C581" s="59"/>
      <c r="K581" s="60"/>
      <c r="L581" s="59"/>
    </row>
    <row r="582" spans="3:12" ht="14.25" customHeight="1">
      <c r="C582" s="59"/>
      <c r="K582" s="60"/>
      <c r="L582" s="59"/>
    </row>
    <row r="583" spans="3:12" ht="14.25" customHeight="1">
      <c r="C583" s="59"/>
      <c r="K583" s="60"/>
      <c r="L583" s="59"/>
    </row>
    <row r="584" spans="3:12" ht="14.25" customHeight="1">
      <c r="C584" s="59"/>
      <c r="K584" s="60"/>
      <c r="L584" s="59"/>
    </row>
    <row r="585" spans="3:12" ht="14.25" customHeight="1">
      <c r="C585" s="59"/>
      <c r="K585" s="60"/>
      <c r="L585" s="59"/>
    </row>
    <row r="586" spans="3:12" ht="14.25" customHeight="1">
      <c r="C586" s="59"/>
      <c r="K586" s="60"/>
      <c r="L586" s="59"/>
    </row>
    <row r="587" spans="3:12" ht="14.25" customHeight="1">
      <c r="C587" s="59"/>
      <c r="K587" s="60"/>
      <c r="L587" s="59"/>
    </row>
    <row r="588" spans="3:12" ht="14.25" customHeight="1">
      <c r="C588" s="59"/>
      <c r="K588" s="60"/>
      <c r="L588" s="59"/>
    </row>
    <row r="589" spans="3:12" ht="14.25" customHeight="1">
      <c r="C589" s="59"/>
      <c r="K589" s="60"/>
      <c r="L589" s="59"/>
    </row>
    <row r="590" spans="3:12" ht="14.25" customHeight="1">
      <c r="C590" s="59"/>
      <c r="K590" s="60"/>
      <c r="L590" s="59"/>
    </row>
    <row r="591" spans="3:12" ht="14.25" customHeight="1">
      <c r="C591" s="59"/>
      <c r="K591" s="60"/>
      <c r="L591" s="59"/>
    </row>
    <row r="592" spans="3:12" ht="14.25" customHeight="1">
      <c r="C592" s="59"/>
      <c r="K592" s="60"/>
      <c r="L592" s="59"/>
    </row>
    <row r="593" spans="3:12" ht="14.25" customHeight="1">
      <c r="C593" s="59"/>
      <c r="K593" s="60"/>
      <c r="L593" s="59"/>
    </row>
    <row r="594" spans="3:12" ht="14.25" customHeight="1">
      <c r="C594" s="59"/>
      <c r="K594" s="60"/>
      <c r="L594" s="59"/>
    </row>
    <row r="595" spans="3:12" ht="14.25" customHeight="1">
      <c r="C595" s="59"/>
      <c r="K595" s="60"/>
      <c r="L595" s="59"/>
    </row>
    <row r="596" spans="3:12" ht="14.25" customHeight="1">
      <c r="C596" s="59"/>
      <c r="K596" s="60"/>
      <c r="L596" s="59"/>
    </row>
    <row r="597" spans="3:12" ht="14.25" customHeight="1">
      <c r="C597" s="59"/>
      <c r="K597" s="60"/>
      <c r="L597" s="59"/>
    </row>
    <row r="598" spans="3:12" ht="14.25" customHeight="1">
      <c r="C598" s="59"/>
      <c r="K598" s="60"/>
      <c r="L598" s="59"/>
    </row>
    <row r="599" spans="3:12" ht="14.25" customHeight="1">
      <c r="C599" s="59"/>
      <c r="K599" s="60"/>
      <c r="L599" s="59"/>
    </row>
    <row r="600" spans="3:12" ht="14.25" customHeight="1">
      <c r="C600" s="59"/>
      <c r="K600" s="60"/>
      <c r="L600" s="59"/>
    </row>
    <row r="601" spans="3:12" ht="14.25" customHeight="1">
      <c r="C601" s="59"/>
      <c r="K601" s="60"/>
      <c r="L601" s="59"/>
    </row>
    <row r="602" spans="3:12" ht="14.25" customHeight="1">
      <c r="C602" s="59"/>
      <c r="K602" s="60"/>
      <c r="L602" s="59"/>
    </row>
    <row r="603" spans="3:12" ht="14.25" customHeight="1">
      <c r="C603" s="59"/>
      <c r="K603" s="60"/>
      <c r="L603" s="59"/>
    </row>
    <row r="604" spans="3:12" ht="14.25" customHeight="1">
      <c r="C604" s="59"/>
      <c r="K604" s="60"/>
      <c r="L604" s="59"/>
    </row>
    <row r="605" spans="3:12" ht="14.25" customHeight="1">
      <c r="C605" s="59"/>
      <c r="K605" s="60"/>
      <c r="L605" s="59"/>
    </row>
    <row r="606" spans="3:12" ht="14.25" customHeight="1">
      <c r="C606" s="59"/>
      <c r="K606" s="60"/>
      <c r="L606" s="59"/>
    </row>
    <row r="607" spans="3:12" ht="14.25" customHeight="1">
      <c r="C607" s="59"/>
      <c r="K607" s="60"/>
      <c r="L607" s="59"/>
    </row>
    <row r="608" spans="3:12" ht="14.25" customHeight="1">
      <c r="C608" s="59"/>
      <c r="K608" s="60"/>
      <c r="L608" s="59"/>
    </row>
    <row r="609" spans="3:12" ht="14.25" customHeight="1">
      <c r="C609" s="59"/>
      <c r="K609" s="60"/>
      <c r="L609" s="59"/>
    </row>
    <row r="610" spans="3:12" ht="14.25" customHeight="1">
      <c r="C610" s="59"/>
      <c r="K610" s="60"/>
      <c r="L610" s="59"/>
    </row>
    <row r="611" spans="3:12" ht="14.25" customHeight="1">
      <c r="C611" s="59"/>
      <c r="K611" s="60"/>
      <c r="L611" s="59"/>
    </row>
    <row r="612" spans="3:12" ht="14.25" customHeight="1">
      <c r="C612" s="59"/>
      <c r="K612" s="60"/>
      <c r="L612" s="59"/>
    </row>
    <row r="613" spans="3:12" ht="14.25" customHeight="1">
      <c r="C613" s="59"/>
      <c r="K613" s="60"/>
      <c r="L613" s="59"/>
    </row>
    <row r="614" spans="3:12" ht="14.25" customHeight="1">
      <c r="C614" s="59"/>
      <c r="K614" s="60"/>
      <c r="L614" s="59"/>
    </row>
    <row r="615" spans="3:12" ht="14.25" customHeight="1">
      <c r="C615" s="59"/>
      <c r="K615" s="60"/>
      <c r="L615" s="59"/>
    </row>
    <row r="616" spans="3:12" ht="14.25" customHeight="1">
      <c r="C616" s="59"/>
      <c r="K616" s="60"/>
      <c r="L616" s="59"/>
    </row>
    <row r="617" spans="3:12" ht="14.25" customHeight="1">
      <c r="C617" s="59"/>
      <c r="K617" s="60"/>
      <c r="L617" s="59"/>
    </row>
    <row r="618" spans="3:12" ht="14.25" customHeight="1">
      <c r="C618" s="59"/>
      <c r="K618" s="60"/>
      <c r="L618" s="59"/>
    </row>
    <row r="619" spans="3:12" ht="14.25" customHeight="1">
      <c r="C619" s="59"/>
      <c r="K619" s="60"/>
      <c r="L619" s="59"/>
    </row>
    <row r="620" spans="3:12" ht="14.25" customHeight="1">
      <c r="C620" s="59"/>
      <c r="K620" s="60"/>
      <c r="L620" s="59"/>
    </row>
    <row r="621" spans="3:12" ht="14.25" customHeight="1">
      <c r="C621" s="59"/>
      <c r="K621" s="60"/>
      <c r="L621" s="59"/>
    </row>
    <row r="622" spans="3:12" ht="14.25" customHeight="1">
      <c r="C622" s="59"/>
      <c r="K622" s="60"/>
      <c r="L622" s="59"/>
    </row>
    <row r="623" spans="3:12" ht="14.25" customHeight="1">
      <c r="C623" s="59"/>
      <c r="K623" s="60"/>
      <c r="L623" s="59"/>
    </row>
    <row r="624" spans="3:12" ht="14.25" customHeight="1">
      <c r="C624" s="59"/>
      <c r="K624" s="60"/>
      <c r="L624" s="59"/>
    </row>
    <row r="625" spans="3:12" ht="14.25" customHeight="1">
      <c r="C625" s="59"/>
      <c r="K625" s="60"/>
      <c r="L625" s="59"/>
    </row>
    <row r="626" spans="3:12" ht="14.25" customHeight="1">
      <c r="C626" s="59"/>
      <c r="K626" s="60"/>
      <c r="L626" s="59"/>
    </row>
    <row r="627" spans="3:12" ht="14.25" customHeight="1">
      <c r="C627" s="59"/>
      <c r="K627" s="60"/>
      <c r="L627" s="59"/>
    </row>
    <row r="628" spans="3:12" ht="14.25" customHeight="1">
      <c r="C628" s="59"/>
      <c r="K628" s="60"/>
      <c r="L628" s="59"/>
    </row>
    <row r="629" spans="3:12" ht="14.25" customHeight="1">
      <c r="C629" s="59"/>
      <c r="K629" s="60"/>
      <c r="L629" s="59"/>
    </row>
    <row r="630" spans="3:12" ht="14.25" customHeight="1">
      <c r="C630" s="59"/>
      <c r="K630" s="60"/>
      <c r="L630" s="59"/>
    </row>
    <row r="631" spans="3:12" ht="14.25" customHeight="1">
      <c r="C631" s="59"/>
      <c r="K631" s="60"/>
      <c r="L631" s="59"/>
    </row>
    <row r="632" spans="3:12" ht="14.25" customHeight="1">
      <c r="C632" s="59"/>
      <c r="K632" s="60"/>
      <c r="L632" s="59"/>
    </row>
    <row r="633" spans="3:12" ht="14.25" customHeight="1">
      <c r="C633" s="59"/>
      <c r="K633" s="60"/>
      <c r="L633" s="59"/>
    </row>
    <row r="634" spans="3:12" ht="14.25" customHeight="1">
      <c r="C634" s="59"/>
      <c r="K634" s="60"/>
      <c r="L634" s="59"/>
    </row>
    <row r="635" spans="3:12" ht="14.25" customHeight="1">
      <c r="C635" s="59"/>
      <c r="K635" s="60"/>
      <c r="L635" s="59"/>
    </row>
    <row r="636" spans="3:12" ht="14.25" customHeight="1">
      <c r="C636" s="59"/>
      <c r="K636" s="60"/>
      <c r="L636" s="59"/>
    </row>
    <row r="637" spans="3:12" ht="14.25" customHeight="1">
      <c r="C637" s="59"/>
      <c r="K637" s="60"/>
      <c r="L637" s="59"/>
    </row>
    <row r="638" spans="3:12" ht="14.25" customHeight="1">
      <c r="C638" s="59"/>
      <c r="K638" s="60"/>
      <c r="L638" s="59"/>
    </row>
    <row r="639" spans="3:12" ht="14.25" customHeight="1">
      <c r="C639" s="59"/>
      <c r="K639" s="60"/>
      <c r="L639" s="59"/>
    </row>
    <row r="640" spans="3:12" ht="14.25" customHeight="1">
      <c r="C640" s="59"/>
      <c r="K640" s="60"/>
      <c r="L640" s="59"/>
    </row>
    <row r="641" spans="3:12" ht="14.25" customHeight="1">
      <c r="C641" s="59"/>
      <c r="K641" s="60"/>
      <c r="L641" s="59"/>
    </row>
    <row r="642" spans="3:12" ht="14.25" customHeight="1">
      <c r="C642" s="59"/>
      <c r="K642" s="60"/>
      <c r="L642" s="59"/>
    </row>
    <row r="643" spans="3:12" ht="14.25" customHeight="1">
      <c r="C643" s="59"/>
      <c r="K643" s="60"/>
      <c r="L643" s="59"/>
    </row>
    <row r="644" spans="3:12" ht="14.25" customHeight="1">
      <c r="C644" s="59"/>
      <c r="K644" s="60"/>
      <c r="L644" s="59"/>
    </row>
    <row r="645" spans="3:12" ht="14.25" customHeight="1">
      <c r="C645" s="59"/>
      <c r="K645" s="60"/>
      <c r="L645" s="59"/>
    </row>
    <row r="646" spans="3:12" ht="14.25" customHeight="1">
      <c r="C646" s="59"/>
      <c r="K646" s="60"/>
      <c r="L646" s="59"/>
    </row>
    <row r="647" spans="3:12" ht="14.25" customHeight="1">
      <c r="C647" s="59"/>
      <c r="K647" s="60"/>
      <c r="L647" s="59"/>
    </row>
    <row r="648" spans="3:12" ht="14.25" customHeight="1">
      <c r="C648" s="59"/>
      <c r="K648" s="60"/>
      <c r="L648" s="59"/>
    </row>
    <row r="649" spans="3:12" ht="14.25" customHeight="1">
      <c r="C649" s="59"/>
      <c r="K649" s="60"/>
      <c r="L649" s="59"/>
    </row>
    <row r="650" spans="3:12" ht="14.25" customHeight="1">
      <c r="C650" s="59"/>
      <c r="K650" s="60"/>
      <c r="L650" s="59"/>
    </row>
    <row r="651" spans="3:12" ht="14.25" customHeight="1">
      <c r="C651" s="59"/>
      <c r="K651" s="60"/>
      <c r="L651" s="59"/>
    </row>
    <row r="652" spans="3:12" ht="14.25" customHeight="1">
      <c r="C652" s="59"/>
      <c r="K652" s="60"/>
      <c r="L652" s="59"/>
    </row>
    <row r="653" spans="3:12" ht="14.25" customHeight="1">
      <c r="C653" s="59"/>
      <c r="K653" s="60"/>
      <c r="L653" s="59"/>
    </row>
    <row r="654" spans="3:12" ht="14.25" customHeight="1">
      <c r="C654" s="59"/>
      <c r="K654" s="60"/>
      <c r="L654" s="59"/>
    </row>
    <row r="655" spans="3:12" ht="14.25" customHeight="1">
      <c r="C655" s="59"/>
      <c r="K655" s="60"/>
      <c r="L655" s="59"/>
    </row>
    <row r="656" spans="3:12" ht="14.25" customHeight="1">
      <c r="C656" s="59"/>
      <c r="K656" s="60"/>
      <c r="L656" s="59"/>
    </row>
    <row r="657" spans="3:12" ht="14.25" customHeight="1">
      <c r="C657" s="59"/>
      <c r="K657" s="60"/>
      <c r="L657" s="59"/>
    </row>
    <row r="658" spans="3:12" ht="14.25" customHeight="1">
      <c r="C658" s="59"/>
      <c r="K658" s="60"/>
      <c r="L658" s="59"/>
    </row>
    <row r="659" spans="3:12" ht="14.25" customHeight="1">
      <c r="C659" s="59"/>
      <c r="K659" s="60"/>
      <c r="L659" s="59"/>
    </row>
    <row r="660" spans="3:12" ht="14.25" customHeight="1">
      <c r="C660" s="59"/>
      <c r="K660" s="60"/>
      <c r="L660" s="59"/>
    </row>
    <row r="661" spans="3:12" ht="14.25" customHeight="1">
      <c r="C661" s="59"/>
      <c r="K661" s="60"/>
      <c r="L661" s="59"/>
    </row>
    <row r="662" spans="3:12" ht="14.25" customHeight="1">
      <c r="C662" s="59"/>
      <c r="K662" s="60"/>
      <c r="L662" s="59"/>
    </row>
    <row r="663" spans="3:12" ht="14.25" customHeight="1">
      <c r="C663" s="59"/>
      <c r="K663" s="60"/>
      <c r="L663" s="59"/>
    </row>
    <row r="664" spans="3:12" ht="14.25" customHeight="1">
      <c r="C664" s="59"/>
      <c r="K664" s="60"/>
      <c r="L664" s="59"/>
    </row>
    <row r="665" spans="3:12" ht="14.25" customHeight="1">
      <c r="C665" s="59"/>
      <c r="K665" s="60"/>
      <c r="L665" s="59"/>
    </row>
    <row r="666" spans="3:12" ht="14.25" customHeight="1">
      <c r="C666" s="59"/>
      <c r="K666" s="60"/>
      <c r="L666" s="59"/>
    </row>
    <row r="667" spans="3:12" ht="14.25" customHeight="1">
      <c r="C667" s="59"/>
      <c r="K667" s="60"/>
      <c r="L667" s="59"/>
    </row>
    <row r="668" spans="3:12" ht="14.25" customHeight="1">
      <c r="C668" s="59"/>
      <c r="K668" s="60"/>
      <c r="L668" s="59"/>
    </row>
    <row r="669" spans="3:12" ht="14.25" customHeight="1">
      <c r="C669" s="59"/>
      <c r="K669" s="60"/>
      <c r="L669" s="59"/>
    </row>
    <row r="670" spans="3:12" ht="14.25" customHeight="1">
      <c r="C670" s="59"/>
      <c r="K670" s="60"/>
      <c r="L670" s="59"/>
    </row>
    <row r="671" spans="3:12" ht="14.25" customHeight="1">
      <c r="C671" s="59"/>
      <c r="K671" s="60"/>
      <c r="L671" s="59"/>
    </row>
    <row r="672" spans="3:12" ht="14.25" customHeight="1">
      <c r="C672" s="59"/>
      <c r="K672" s="60"/>
      <c r="L672" s="59"/>
    </row>
    <row r="673" spans="3:12" ht="14.25" customHeight="1">
      <c r="C673" s="59"/>
      <c r="K673" s="60"/>
      <c r="L673" s="59"/>
    </row>
    <row r="674" spans="3:12" ht="14.25" customHeight="1">
      <c r="C674" s="59"/>
      <c r="K674" s="60"/>
      <c r="L674" s="59"/>
    </row>
    <row r="675" spans="3:12" ht="14.25" customHeight="1">
      <c r="C675" s="59"/>
      <c r="K675" s="60"/>
      <c r="L675" s="59"/>
    </row>
    <row r="676" spans="3:12" ht="14.25" customHeight="1">
      <c r="C676" s="59"/>
      <c r="K676" s="60"/>
      <c r="L676" s="59"/>
    </row>
    <row r="677" spans="3:12" ht="14.25" customHeight="1">
      <c r="C677" s="59"/>
      <c r="K677" s="60"/>
      <c r="L677" s="59"/>
    </row>
    <row r="678" spans="3:12" ht="14.25" customHeight="1">
      <c r="C678" s="59"/>
      <c r="K678" s="60"/>
      <c r="L678" s="59"/>
    </row>
    <row r="679" spans="3:12" ht="14.25" customHeight="1">
      <c r="C679" s="59"/>
      <c r="K679" s="60"/>
      <c r="L679" s="59"/>
    </row>
    <row r="680" spans="3:12" ht="14.25" customHeight="1">
      <c r="C680" s="59"/>
      <c r="K680" s="60"/>
      <c r="L680" s="59"/>
    </row>
    <row r="681" spans="3:12" ht="14.25" customHeight="1">
      <c r="C681" s="59"/>
      <c r="K681" s="60"/>
      <c r="L681" s="59"/>
    </row>
    <row r="682" spans="3:12" ht="14.25" customHeight="1">
      <c r="C682" s="59"/>
      <c r="K682" s="60"/>
      <c r="L682" s="59"/>
    </row>
    <row r="683" spans="3:12" ht="14.25" customHeight="1">
      <c r="C683" s="59"/>
      <c r="K683" s="60"/>
      <c r="L683" s="59"/>
    </row>
    <row r="684" spans="3:12" ht="14.25" customHeight="1">
      <c r="C684" s="59"/>
      <c r="K684" s="60"/>
      <c r="L684" s="59"/>
    </row>
    <row r="685" spans="3:12" ht="14.25" customHeight="1">
      <c r="C685" s="59"/>
      <c r="K685" s="60"/>
      <c r="L685" s="59"/>
    </row>
    <row r="686" spans="3:12" ht="14.25" customHeight="1">
      <c r="C686" s="59"/>
      <c r="K686" s="60"/>
      <c r="L686" s="59"/>
    </row>
    <row r="687" spans="3:12" ht="14.25" customHeight="1">
      <c r="C687" s="59"/>
      <c r="K687" s="60"/>
      <c r="L687" s="59"/>
    </row>
    <row r="688" spans="3:12" ht="14.25" customHeight="1">
      <c r="C688" s="59"/>
      <c r="K688" s="60"/>
      <c r="L688" s="59"/>
    </row>
    <row r="689" spans="3:12" ht="14.25" customHeight="1">
      <c r="C689" s="59"/>
      <c r="K689" s="60"/>
      <c r="L689" s="59"/>
    </row>
    <row r="690" spans="3:12" ht="14.25" customHeight="1">
      <c r="C690" s="59"/>
      <c r="K690" s="60"/>
      <c r="L690" s="59"/>
    </row>
    <row r="691" spans="3:12" ht="14.25" customHeight="1">
      <c r="C691" s="59"/>
      <c r="K691" s="60"/>
      <c r="L691" s="59"/>
    </row>
    <row r="692" spans="3:12" ht="14.25" customHeight="1">
      <c r="C692" s="59"/>
      <c r="K692" s="60"/>
      <c r="L692" s="59"/>
    </row>
    <row r="693" spans="3:12" ht="14.25" customHeight="1">
      <c r="C693" s="59"/>
      <c r="K693" s="60"/>
      <c r="L693" s="59"/>
    </row>
    <row r="694" spans="3:12" ht="14.25" customHeight="1">
      <c r="C694" s="59"/>
      <c r="K694" s="60"/>
      <c r="L694" s="59"/>
    </row>
    <row r="695" spans="3:12" ht="14.25" customHeight="1">
      <c r="C695" s="59"/>
      <c r="K695" s="60"/>
      <c r="L695" s="59"/>
    </row>
    <row r="696" spans="3:12" ht="14.25" customHeight="1">
      <c r="C696" s="59"/>
      <c r="K696" s="60"/>
      <c r="L696" s="59"/>
    </row>
    <row r="697" spans="3:12" ht="14.25" customHeight="1">
      <c r="C697" s="59"/>
      <c r="K697" s="60"/>
      <c r="L697" s="59"/>
    </row>
    <row r="698" spans="3:12" ht="14.25" customHeight="1">
      <c r="C698" s="59"/>
      <c r="K698" s="60"/>
      <c r="L698" s="59"/>
    </row>
    <row r="699" spans="3:12" ht="14.25" customHeight="1">
      <c r="C699" s="59"/>
      <c r="K699" s="60"/>
      <c r="L699" s="59"/>
    </row>
    <row r="700" spans="3:12" ht="14.25" customHeight="1">
      <c r="C700" s="59"/>
      <c r="K700" s="60"/>
      <c r="L700" s="59"/>
    </row>
    <row r="701" spans="3:12" ht="14.25" customHeight="1">
      <c r="C701" s="59"/>
      <c r="K701" s="60"/>
      <c r="L701" s="59"/>
    </row>
    <row r="702" spans="3:12" ht="14.25" customHeight="1">
      <c r="C702" s="59"/>
      <c r="K702" s="60"/>
      <c r="L702" s="59"/>
    </row>
    <row r="703" spans="3:12" ht="14.25" customHeight="1">
      <c r="C703" s="59"/>
      <c r="K703" s="60"/>
      <c r="L703" s="59"/>
    </row>
    <row r="704" spans="3:12" ht="14.25" customHeight="1">
      <c r="C704" s="59"/>
      <c r="K704" s="60"/>
      <c r="L704" s="59"/>
    </row>
    <row r="705" spans="3:12" ht="14.25" customHeight="1">
      <c r="C705" s="59"/>
      <c r="K705" s="60"/>
      <c r="L705" s="59"/>
    </row>
    <row r="706" spans="3:12" ht="14.25" customHeight="1">
      <c r="C706" s="59"/>
      <c r="K706" s="60"/>
      <c r="L706" s="59"/>
    </row>
    <row r="707" spans="3:12" ht="14.25" customHeight="1">
      <c r="C707" s="59"/>
      <c r="K707" s="60"/>
      <c r="L707" s="59"/>
    </row>
    <row r="708" spans="3:12" ht="14.25" customHeight="1">
      <c r="C708" s="59"/>
      <c r="K708" s="60"/>
      <c r="L708" s="59"/>
    </row>
    <row r="709" spans="3:12" ht="14.25" customHeight="1">
      <c r="C709" s="59"/>
      <c r="K709" s="60"/>
      <c r="L709" s="59"/>
    </row>
    <row r="710" spans="3:12" ht="14.25" customHeight="1">
      <c r="C710" s="59"/>
      <c r="K710" s="60"/>
      <c r="L710" s="59"/>
    </row>
    <row r="711" spans="3:12" ht="14.25" customHeight="1">
      <c r="C711" s="59"/>
      <c r="K711" s="60"/>
      <c r="L711" s="59"/>
    </row>
    <row r="712" spans="3:12" ht="14.25" customHeight="1">
      <c r="C712" s="59"/>
      <c r="K712" s="60"/>
      <c r="L712" s="59"/>
    </row>
    <row r="713" spans="3:12" ht="14.25" customHeight="1">
      <c r="C713" s="59"/>
      <c r="K713" s="60"/>
      <c r="L713" s="59"/>
    </row>
    <row r="714" spans="3:12" ht="14.25" customHeight="1">
      <c r="C714" s="59"/>
      <c r="K714" s="60"/>
      <c r="L714" s="59"/>
    </row>
    <row r="715" spans="3:12" ht="14.25" customHeight="1">
      <c r="C715" s="59"/>
      <c r="K715" s="60"/>
      <c r="L715" s="59"/>
    </row>
    <row r="716" spans="3:12" ht="14.25" customHeight="1">
      <c r="C716" s="59"/>
      <c r="K716" s="60"/>
      <c r="L716" s="59"/>
    </row>
    <row r="717" spans="3:12" ht="14.25" customHeight="1">
      <c r="C717" s="59"/>
      <c r="K717" s="60"/>
      <c r="L717" s="59"/>
    </row>
    <row r="718" spans="3:12" ht="14.25" customHeight="1">
      <c r="C718" s="59"/>
      <c r="K718" s="60"/>
      <c r="L718" s="59"/>
    </row>
    <row r="719" spans="3:12" ht="14.25" customHeight="1">
      <c r="C719" s="59"/>
      <c r="K719" s="60"/>
      <c r="L719" s="59"/>
    </row>
    <row r="720" spans="3:12" ht="14.25" customHeight="1">
      <c r="C720" s="59"/>
      <c r="K720" s="60"/>
      <c r="L720" s="59"/>
    </row>
    <row r="721" spans="3:12" ht="14.25" customHeight="1">
      <c r="C721" s="59"/>
      <c r="K721" s="60"/>
      <c r="L721" s="59"/>
    </row>
    <row r="722" spans="3:12" ht="14.25" customHeight="1">
      <c r="C722" s="59"/>
      <c r="K722" s="60"/>
      <c r="L722" s="59"/>
    </row>
    <row r="723" spans="3:12" ht="14.25" customHeight="1">
      <c r="C723" s="59"/>
      <c r="K723" s="60"/>
      <c r="L723" s="59"/>
    </row>
    <row r="724" spans="3:12" ht="14.25" customHeight="1">
      <c r="C724" s="59"/>
      <c r="K724" s="60"/>
      <c r="L724" s="59"/>
    </row>
    <row r="725" spans="3:12" ht="14.25" customHeight="1">
      <c r="C725" s="59"/>
      <c r="K725" s="60"/>
      <c r="L725" s="59"/>
    </row>
    <row r="726" spans="3:12" ht="14.25" customHeight="1">
      <c r="C726" s="59"/>
      <c r="K726" s="60"/>
      <c r="L726" s="59"/>
    </row>
    <row r="727" spans="3:12" ht="14.25" customHeight="1">
      <c r="C727" s="59"/>
      <c r="K727" s="60"/>
      <c r="L727" s="59"/>
    </row>
    <row r="728" spans="3:12" ht="14.25" customHeight="1">
      <c r="C728" s="59"/>
      <c r="K728" s="60"/>
      <c r="L728" s="59"/>
    </row>
    <row r="729" spans="3:12" ht="14.25" customHeight="1">
      <c r="C729" s="59"/>
      <c r="K729" s="60"/>
      <c r="L729" s="59"/>
    </row>
    <row r="730" spans="3:12" ht="14.25" customHeight="1">
      <c r="C730" s="59"/>
      <c r="K730" s="60"/>
      <c r="L730" s="59"/>
    </row>
    <row r="731" spans="3:12" ht="14.25" customHeight="1">
      <c r="C731" s="59"/>
      <c r="K731" s="60"/>
      <c r="L731" s="59"/>
    </row>
    <row r="732" spans="3:12" ht="14.25" customHeight="1">
      <c r="C732" s="59"/>
      <c r="K732" s="60"/>
      <c r="L732" s="59"/>
    </row>
    <row r="733" spans="3:12" ht="14.25" customHeight="1">
      <c r="C733" s="59"/>
      <c r="K733" s="60"/>
      <c r="L733" s="59"/>
    </row>
    <row r="734" spans="3:12" ht="14.25" customHeight="1">
      <c r="C734" s="59"/>
      <c r="K734" s="60"/>
      <c r="L734" s="59"/>
    </row>
    <row r="735" spans="3:12" ht="14.25" customHeight="1">
      <c r="C735" s="59"/>
      <c r="K735" s="60"/>
      <c r="L735" s="59"/>
    </row>
    <row r="736" spans="3:12" ht="14.25" customHeight="1">
      <c r="C736" s="59"/>
      <c r="K736" s="60"/>
      <c r="L736" s="59"/>
    </row>
    <row r="737" spans="3:12" ht="14.25" customHeight="1">
      <c r="C737" s="59"/>
      <c r="K737" s="60"/>
      <c r="L737" s="59"/>
    </row>
    <row r="738" spans="3:12" ht="14.25" customHeight="1">
      <c r="C738" s="59"/>
      <c r="K738" s="60"/>
      <c r="L738" s="59"/>
    </row>
    <row r="739" spans="3:12" ht="14.25" customHeight="1">
      <c r="C739" s="59"/>
      <c r="K739" s="60"/>
      <c r="L739" s="59"/>
    </row>
    <row r="740" spans="3:12" ht="14.25" customHeight="1">
      <c r="C740" s="59"/>
      <c r="K740" s="60"/>
      <c r="L740" s="59"/>
    </row>
    <row r="741" spans="3:12" ht="14.25" customHeight="1">
      <c r="C741" s="59"/>
      <c r="K741" s="60"/>
      <c r="L741" s="59"/>
    </row>
    <row r="742" spans="3:12" ht="14.25" customHeight="1">
      <c r="C742" s="59"/>
      <c r="K742" s="60"/>
      <c r="L742" s="59"/>
    </row>
    <row r="743" spans="3:12" ht="14.25" customHeight="1">
      <c r="C743" s="59"/>
      <c r="K743" s="60"/>
      <c r="L743" s="59"/>
    </row>
    <row r="744" spans="3:12" ht="14.25" customHeight="1">
      <c r="C744" s="59"/>
      <c r="K744" s="60"/>
      <c r="L744" s="59"/>
    </row>
    <row r="745" spans="3:12" ht="14.25" customHeight="1">
      <c r="C745" s="59"/>
      <c r="K745" s="60"/>
      <c r="L745" s="59"/>
    </row>
    <row r="746" spans="3:12" ht="14.25" customHeight="1">
      <c r="C746" s="59"/>
      <c r="K746" s="60"/>
      <c r="L746" s="59"/>
    </row>
    <row r="747" spans="3:12" ht="14.25" customHeight="1">
      <c r="C747" s="59"/>
      <c r="K747" s="60"/>
      <c r="L747" s="59"/>
    </row>
    <row r="748" spans="3:12" ht="14.25" customHeight="1">
      <c r="C748" s="59"/>
      <c r="K748" s="60"/>
      <c r="L748" s="59"/>
    </row>
    <row r="749" spans="3:12" ht="14.25" customHeight="1">
      <c r="C749" s="59"/>
      <c r="K749" s="60"/>
      <c r="L749" s="59"/>
    </row>
    <row r="750" spans="3:12" ht="14.25" customHeight="1">
      <c r="C750" s="59"/>
      <c r="K750" s="60"/>
      <c r="L750" s="59"/>
    </row>
    <row r="751" spans="3:12" ht="14.25" customHeight="1">
      <c r="C751" s="59"/>
      <c r="K751" s="60"/>
      <c r="L751" s="59"/>
    </row>
    <row r="752" spans="3:12" ht="14.25" customHeight="1">
      <c r="C752" s="59"/>
      <c r="K752" s="60"/>
      <c r="L752" s="59"/>
    </row>
    <row r="753" spans="3:12" ht="14.25" customHeight="1">
      <c r="C753" s="59"/>
      <c r="K753" s="60"/>
      <c r="L753" s="59"/>
    </row>
    <row r="754" spans="3:12" ht="14.25" customHeight="1">
      <c r="C754" s="59"/>
      <c r="K754" s="60"/>
      <c r="L754" s="59"/>
    </row>
    <row r="755" spans="3:12" ht="14.25" customHeight="1">
      <c r="C755" s="59"/>
      <c r="K755" s="60"/>
      <c r="L755" s="59"/>
    </row>
    <row r="756" spans="3:12" ht="14.25" customHeight="1">
      <c r="C756" s="59"/>
      <c r="K756" s="60"/>
      <c r="L756" s="59"/>
    </row>
    <row r="757" spans="3:12" ht="14.25" customHeight="1">
      <c r="C757" s="59"/>
      <c r="K757" s="60"/>
      <c r="L757" s="59"/>
    </row>
    <row r="758" spans="3:12" ht="14.25" customHeight="1">
      <c r="C758" s="59"/>
      <c r="K758" s="60"/>
      <c r="L758" s="59"/>
    </row>
    <row r="759" spans="3:12" ht="14.25" customHeight="1">
      <c r="C759" s="59"/>
      <c r="K759" s="60"/>
      <c r="L759" s="59"/>
    </row>
    <row r="760" spans="3:12" ht="14.25" customHeight="1">
      <c r="C760" s="59"/>
      <c r="K760" s="60"/>
      <c r="L760" s="59"/>
    </row>
    <row r="761" spans="3:12" ht="14.25" customHeight="1">
      <c r="C761" s="59"/>
      <c r="K761" s="60"/>
      <c r="L761" s="59"/>
    </row>
    <row r="762" spans="3:12" ht="14.25" customHeight="1">
      <c r="C762" s="59"/>
      <c r="K762" s="60"/>
      <c r="L762" s="59"/>
    </row>
    <row r="763" spans="3:12" ht="14.25" customHeight="1">
      <c r="C763" s="59"/>
      <c r="K763" s="60"/>
      <c r="L763" s="59"/>
    </row>
    <row r="764" spans="3:12" ht="14.25" customHeight="1">
      <c r="C764" s="59"/>
      <c r="K764" s="60"/>
      <c r="L764" s="59"/>
    </row>
    <row r="765" spans="3:12" ht="14.25" customHeight="1">
      <c r="C765" s="59"/>
      <c r="K765" s="60"/>
      <c r="L765" s="59"/>
    </row>
    <row r="766" spans="3:12" ht="14.25" customHeight="1">
      <c r="C766" s="59"/>
      <c r="K766" s="60"/>
      <c r="L766" s="59"/>
    </row>
    <row r="767" spans="3:12" ht="14.25" customHeight="1">
      <c r="C767" s="59"/>
      <c r="K767" s="60"/>
      <c r="L767" s="59"/>
    </row>
    <row r="768" spans="3:12" ht="14.25" customHeight="1">
      <c r="C768" s="59"/>
      <c r="K768" s="60"/>
      <c r="L768" s="59"/>
    </row>
    <row r="769" spans="3:12" ht="14.25" customHeight="1">
      <c r="C769" s="59"/>
      <c r="K769" s="60"/>
      <c r="L769" s="59"/>
    </row>
    <row r="770" spans="3:12" ht="14.25" customHeight="1">
      <c r="C770" s="59"/>
      <c r="K770" s="60"/>
      <c r="L770" s="59"/>
    </row>
    <row r="771" spans="3:12" ht="14.25" customHeight="1">
      <c r="C771" s="59"/>
      <c r="K771" s="60"/>
      <c r="L771" s="59"/>
    </row>
    <row r="772" spans="3:12" ht="14.25" customHeight="1">
      <c r="C772" s="59"/>
      <c r="K772" s="60"/>
      <c r="L772" s="59"/>
    </row>
    <row r="773" spans="3:12" ht="14.25" customHeight="1">
      <c r="C773" s="59"/>
      <c r="K773" s="60"/>
      <c r="L773" s="59"/>
    </row>
    <row r="774" spans="3:12" ht="14.25" customHeight="1">
      <c r="C774" s="59"/>
      <c r="K774" s="60"/>
      <c r="L774" s="59"/>
    </row>
    <row r="775" spans="3:12" ht="14.25" customHeight="1">
      <c r="C775" s="59"/>
      <c r="K775" s="60"/>
      <c r="L775" s="59"/>
    </row>
    <row r="776" spans="3:12" ht="14.25" customHeight="1">
      <c r="C776" s="59"/>
      <c r="K776" s="60"/>
      <c r="L776" s="59"/>
    </row>
    <row r="777" spans="3:12" ht="14.25" customHeight="1">
      <c r="C777" s="59"/>
      <c r="K777" s="60"/>
      <c r="L777" s="59"/>
    </row>
    <row r="778" spans="3:12" ht="14.25" customHeight="1">
      <c r="C778" s="59"/>
      <c r="K778" s="60"/>
      <c r="L778" s="59"/>
    </row>
    <row r="779" spans="3:12" ht="14.25" customHeight="1">
      <c r="C779" s="59"/>
      <c r="K779" s="60"/>
      <c r="L779" s="59"/>
    </row>
    <row r="780" spans="3:12" ht="14.25" customHeight="1">
      <c r="C780" s="59"/>
      <c r="K780" s="60"/>
      <c r="L780" s="59"/>
    </row>
    <row r="781" spans="3:12" ht="14.25" customHeight="1">
      <c r="C781" s="59"/>
      <c r="K781" s="60"/>
      <c r="L781" s="59"/>
    </row>
    <row r="782" spans="3:12" ht="14.25" customHeight="1">
      <c r="C782" s="59"/>
      <c r="K782" s="60"/>
      <c r="L782" s="59"/>
    </row>
    <row r="783" spans="3:12" ht="14.25" customHeight="1">
      <c r="C783" s="59"/>
      <c r="K783" s="60"/>
      <c r="L783" s="59"/>
    </row>
    <row r="784" spans="3:12" ht="14.25" customHeight="1">
      <c r="C784" s="59"/>
      <c r="K784" s="60"/>
      <c r="L784" s="59"/>
    </row>
    <row r="785" spans="3:12" ht="14.25" customHeight="1">
      <c r="C785" s="59"/>
      <c r="K785" s="60"/>
      <c r="L785" s="59"/>
    </row>
    <row r="786" spans="3:12" ht="14.25" customHeight="1">
      <c r="C786" s="59"/>
      <c r="K786" s="60"/>
      <c r="L786" s="59"/>
    </row>
    <row r="787" spans="3:12" ht="14.25" customHeight="1">
      <c r="C787" s="59"/>
      <c r="K787" s="60"/>
      <c r="L787" s="59"/>
    </row>
    <row r="788" spans="3:12" ht="14.25" customHeight="1">
      <c r="C788" s="59"/>
      <c r="K788" s="60"/>
      <c r="L788" s="59"/>
    </row>
    <row r="789" spans="3:12" ht="14.25" customHeight="1">
      <c r="C789" s="59"/>
      <c r="K789" s="60"/>
      <c r="L789" s="59"/>
    </row>
    <row r="790" spans="3:12" ht="14.25" customHeight="1">
      <c r="C790" s="59"/>
      <c r="K790" s="60"/>
      <c r="L790" s="59"/>
    </row>
    <row r="791" spans="3:12" ht="14.25" customHeight="1">
      <c r="C791" s="59"/>
      <c r="K791" s="60"/>
      <c r="L791" s="59"/>
    </row>
    <row r="792" spans="3:12" ht="14.25" customHeight="1">
      <c r="C792" s="59"/>
      <c r="K792" s="60"/>
      <c r="L792" s="59"/>
    </row>
    <row r="793" spans="3:12" ht="14.25" customHeight="1">
      <c r="C793" s="59"/>
      <c r="K793" s="60"/>
      <c r="L793" s="59"/>
    </row>
    <row r="794" spans="3:12" ht="14.25" customHeight="1">
      <c r="C794" s="59"/>
      <c r="K794" s="60"/>
      <c r="L794" s="59"/>
    </row>
    <row r="795" spans="3:12" ht="14.25" customHeight="1">
      <c r="C795" s="59"/>
      <c r="K795" s="60"/>
      <c r="L795" s="59"/>
    </row>
    <row r="796" spans="3:12" ht="14.25" customHeight="1">
      <c r="C796" s="59"/>
      <c r="K796" s="60"/>
      <c r="L796" s="59"/>
    </row>
    <row r="797" spans="3:12" ht="14.25" customHeight="1">
      <c r="C797" s="59"/>
      <c r="K797" s="60"/>
      <c r="L797" s="59"/>
    </row>
    <row r="798" spans="3:12" ht="14.25" customHeight="1">
      <c r="C798" s="59"/>
      <c r="K798" s="60"/>
      <c r="L798" s="59"/>
    </row>
    <row r="799" spans="3:12" ht="14.25" customHeight="1">
      <c r="C799" s="59"/>
      <c r="K799" s="60"/>
      <c r="L799" s="59"/>
    </row>
    <row r="800" spans="3:12" ht="14.25" customHeight="1">
      <c r="C800" s="59"/>
      <c r="K800" s="60"/>
      <c r="L800" s="59"/>
    </row>
    <row r="801" spans="3:12" ht="14.25" customHeight="1">
      <c r="C801" s="59"/>
      <c r="K801" s="60"/>
      <c r="L801" s="59"/>
    </row>
    <row r="802" spans="3:12" ht="14.25" customHeight="1">
      <c r="C802" s="59"/>
      <c r="K802" s="60"/>
      <c r="L802" s="59"/>
    </row>
    <row r="803" spans="3:12" ht="14.25" customHeight="1">
      <c r="C803" s="59"/>
      <c r="K803" s="60"/>
      <c r="L803" s="59"/>
    </row>
    <row r="804" spans="3:12" ht="14.25" customHeight="1">
      <c r="C804" s="59"/>
      <c r="K804" s="60"/>
      <c r="L804" s="59"/>
    </row>
    <row r="805" spans="3:12" ht="14.25" customHeight="1">
      <c r="C805" s="59"/>
      <c r="K805" s="60"/>
      <c r="L805" s="59"/>
    </row>
    <row r="806" spans="3:12" ht="14.25" customHeight="1">
      <c r="C806" s="59"/>
      <c r="K806" s="60"/>
      <c r="L806" s="59"/>
    </row>
    <row r="807" spans="3:12" ht="14.25" customHeight="1">
      <c r="C807" s="59"/>
      <c r="K807" s="60"/>
      <c r="L807" s="59"/>
    </row>
    <row r="808" spans="3:12" ht="14.25" customHeight="1">
      <c r="C808" s="59"/>
      <c r="K808" s="60"/>
      <c r="L808" s="59"/>
    </row>
    <row r="809" spans="3:12" ht="14.25" customHeight="1">
      <c r="C809" s="59"/>
      <c r="K809" s="60"/>
      <c r="L809" s="59"/>
    </row>
    <row r="810" spans="3:12" ht="14.25" customHeight="1">
      <c r="C810" s="59"/>
      <c r="K810" s="60"/>
      <c r="L810" s="59"/>
    </row>
    <row r="811" spans="3:12" ht="14.25" customHeight="1">
      <c r="C811" s="59"/>
      <c r="K811" s="60"/>
      <c r="L811" s="59"/>
    </row>
    <row r="812" spans="3:12" ht="14.25" customHeight="1">
      <c r="C812" s="59"/>
      <c r="K812" s="60"/>
      <c r="L812" s="59"/>
    </row>
    <row r="813" spans="3:12" ht="14.25" customHeight="1">
      <c r="C813" s="59"/>
      <c r="K813" s="60"/>
      <c r="L813" s="59"/>
    </row>
    <row r="814" spans="3:12" ht="14.25" customHeight="1">
      <c r="C814" s="59"/>
      <c r="K814" s="60"/>
      <c r="L814" s="59"/>
    </row>
    <row r="815" spans="3:12" ht="14.25" customHeight="1">
      <c r="C815" s="59"/>
      <c r="K815" s="60"/>
      <c r="L815" s="59"/>
    </row>
    <row r="816" spans="3:12" ht="14.25" customHeight="1">
      <c r="C816" s="59"/>
      <c r="K816" s="60"/>
      <c r="L816" s="59"/>
    </row>
    <row r="817" spans="3:12" ht="14.25" customHeight="1">
      <c r="C817" s="59"/>
      <c r="K817" s="60"/>
      <c r="L817" s="59"/>
    </row>
    <row r="818" spans="3:12" ht="14.25" customHeight="1">
      <c r="C818" s="59"/>
      <c r="K818" s="60"/>
      <c r="L818" s="59"/>
    </row>
    <row r="819" spans="3:12" ht="14.25" customHeight="1">
      <c r="C819" s="59"/>
      <c r="K819" s="60"/>
      <c r="L819" s="59"/>
    </row>
    <row r="820" spans="3:12" ht="14.25" customHeight="1">
      <c r="C820" s="59"/>
      <c r="K820" s="60"/>
      <c r="L820" s="59"/>
    </row>
    <row r="821" spans="3:12" ht="14.25" customHeight="1">
      <c r="C821" s="59"/>
      <c r="K821" s="60"/>
      <c r="L821" s="59"/>
    </row>
    <row r="822" spans="3:12" ht="14.25" customHeight="1">
      <c r="C822" s="59"/>
      <c r="K822" s="60"/>
      <c r="L822" s="59"/>
    </row>
    <row r="823" spans="3:12" ht="14.25" customHeight="1">
      <c r="C823" s="59"/>
      <c r="K823" s="60"/>
      <c r="L823" s="59"/>
    </row>
    <row r="824" spans="3:12" ht="14.25" customHeight="1">
      <c r="C824" s="59"/>
      <c r="K824" s="60"/>
      <c r="L824" s="59"/>
    </row>
    <row r="825" spans="3:12" ht="14.25" customHeight="1">
      <c r="C825" s="59"/>
      <c r="K825" s="60"/>
      <c r="L825" s="59"/>
    </row>
    <row r="826" spans="3:12" ht="14.25" customHeight="1">
      <c r="C826" s="59"/>
      <c r="K826" s="60"/>
      <c r="L826" s="59"/>
    </row>
    <row r="827" spans="3:12" ht="14.25" customHeight="1">
      <c r="C827" s="59"/>
      <c r="K827" s="60"/>
      <c r="L827" s="59"/>
    </row>
    <row r="828" spans="3:12" ht="14.25" customHeight="1">
      <c r="C828" s="59"/>
      <c r="K828" s="60"/>
      <c r="L828" s="59"/>
    </row>
    <row r="829" spans="3:12" ht="14.25" customHeight="1">
      <c r="C829" s="59"/>
      <c r="K829" s="60"/>
      <c r="L829" s="59"/>
    </row>
    <row r="830" spans="3:12" ht="14.25" customHeight="1">
      <c r="C830" s="59"/>
      <c r="K830" s="60"/>
      <c r="L830" s="59"/>
    </row>
    <row r="831" spans="3:12" ht="14.25" customHeight="1">
      <c r="C831" s="59"/>
      <c r="K831" s="60"/>
      <c r="L831" s="59"/>
    </row>
    <row r="832" spans="3:12" ht="14.25" customHeight="1">
      <c r="C832" s="59"/>
      <c r="K832" s="60"/>
      <c r="L832" s="59"/>
    </row>
    <row r="833" spans="3:12" ht="14.25" customHeight="1">
      <c r="C833" s="59"/>
      <c r="K833" s="60"/>
      <c r="L833" s="59"/>
    </row>
    <row r="834" spans="3:12" ht="14.25" customHeight="1">
      <c r="C834" s="59"/>
      <c r="K834" s="60"/>
      <c r="L834" s="59"/>
    </row>
    <row r="835" spans="3:12" ht="14.25" customHeight="1">
      <c r="C835" s="59"/>
      <c r="K835" s="60"/>
      <c r="L835" s="59"/>
    </row>
    <row r="836" spans="3:12" ht="14.25" customHeight="1">
      <c r="C836" s="59"/>
      <c r="K836" s="60"/>
      <c r="L836" s="59"/>
    </row>
    <row r="837" spans="3:12" ht="14.25" customHeight="1">
      <c r="C837" s="59"/>
      <c r="K837" s="60"/>
      <c r="L837" s="59"/>
    </row>
    <row r="838" spans="3:12" ht="14.25" customHeight="1">
      <c r="C838" s="59"/>
      <c r="K838" s="60"/>
      <c r="L838" s="59"/>
    </row>
    <row r="839" spans="3:12" ht="14.25" customHeight="1">
      <c r="C839" s="59"/>
      <c r="K839" s="60"/>
      <c r="L839" s="59"/>
    </row>
    <row r="840" spans="3:12" ht="14.25" customHeight="1">
      <c r="C840" s="59"/>
      <c r="K840" s="60"/>
      <c r="L840" s="59"/>
    </row>
    <row r="841" spans="3:12" ht="14.25" customHeight="1">
      <c r="C841" s="59"/>
      <c r="K841" s="60"/>
      <c r="L841" s="59"/>
    </row>
    <row r="842" spans="3:12" ht="14.25" customHeight="1">
      <c r="C842" s="59"/>
      <c r="K842" s="60"/>
      <c r="L842" s="59"/>
    </row>
    <row r="843" spans="3:12" ht="14.25" customHeight="1">
      <c r="C843" s="59"/>
      <c r="K843" s="60"/>
      <c r="L843" s="59"/>
    </row>
    <row r="844" spans="3:12" ht="14.25" customHeight="1">
      <c r="C844" s="59"/>
      <c r="K844" s="60"/>
      <c r="L844" s="59"/>
    </row>
    <row r="845" spans="3:12" ht="14.25" customHeight="1">
      <c r="C845" s="59"/>
      <c r="K845" s="60"/>
      <c r="L845" s="59"/>
    </row>
    <row r="846" spans="3:12" ht="14.25" customHeight="1">
      <c r="C846" s="59"/>
      <c r="K846" s="60"/>
      <c r="L846" s="59"/>
    </row>
    <row r="847" spans="3:12" ht="14.25" customHeight="1">
      <c r="C847" s="59"/>
      <c r="K847" s="60"/>
      <c r="L847" s="59"/>
    </row>
    <row r="848" spans="3:12" ht="14.25" customHeight="1">
      <c r="C848" s="59"/>
      <c r="K848" s="60"/>
      <c r="L848" s="59"/>
    </row>
    <row r="849" spans="3:12" ht="14.25" customHeight="1">
      <c r="C849" s="59"/>
      <c r="K849" s="60"/>
      <c r="L849" s="59"/>
    </row>
    <row r="850" spans="3:12" ht="14.25" customHeight="1">
      <c r="C850" s="59"/>
      <c r="K850" s="60"/>
      <c r="L850" s="59"/>
    </row>
    <row r="851" spans="3:12" ht="14.25" customHeight="1">
      <c r="C851" s="59"/>
      <c r="K851" s="60"/>
      <c r="L851" s="59"/>
    </row>
    <row r="852" spans="3:12" ht="14.25" customHeight="1">
      <c r="C852" s="59"/>
      <c r="K852" s="60"/>
      <c r="L852" s="59"/>
    </row>
    <row r="853" spans="3:12" ht="14.25" customHeight="1">
      <c r="C853" s="59"/>
      <c r="K853" s="60"/>
      <c r="L853" s="59"/>
    </row>
    <row r="854" spans="3:12" ht="14.25" customHeight="1">
      <c r="C854" s="59"/>
      <c r="K854" s="60"/>
      <c r="L854" s="59"/>
    </row>
    <row r="855" spans="3:12" ht="14.25" customHeight="1">
      <c r="C855" s="59"/>
      <c r="K855" s="60"/>
      <c r="L855" s="59"/>
    </row>
    <row r="856" spans="3:12" ht="14.25" customHeight="1">
      <c r="C856" s="59"/>
      <c r="K856" s="60"/>
      <c r="L856" s="59"/>
    </row>
    <row r="857" spans="3:12" ht="14.25" customHeight="1">
      <c r="C857" s="59"/>
      <c r="K857" s="60"/>
      <c r="L857" s="59"/>
    </row>
    <row r="858" spans="3:12" ht="14.25" customHeight="1">
      <c r="C858" s="59"/>
      <c r="K858" s="60"/>
      <c r="L858" s="59"/>
    </row>
    <row r="859" spans="3:12" ht="14.25" customHeight="1">
      <c r="C859" s="59"/>
      <c r="K859" s="60"/>
      <c r="L859" s="59"/>
    </row>
    <row r="860" spans="3:12" ht="14.25" customHeight="1">
      <c r="C860" s="59"/>
      <c r="K860" s="60"/>
      <c r="L860" s="59"/>
    </row>
    <row r="861" spans="3:12" ht="14.25" customHeight="1">
      <c r="C861" s="59"/>
      <c r="K861" s="60"/>
      <c r="L861" s="59"/>
    </row>
    <row r="862" spans="3:12" ht="14.25" customHeight="1">
      <c r="C862" s="59"/>
      <c r="K862" s="60"/>
      <c r="L862" s="59"/>
    </row>
    <row r="863" spans="3:12" ht="14.25" customHeight="1">
      <c r="C863" s="59"/>
      <c r="K863" s="60"/>
      <c r="L863" s="59"/>
    </row>
    <row r="864" spans="3:12" ht="14.25" customHeight="1">
      <c r="C864" s="59"/>
      <c r="K864" s="60"/>
      <c r="L864" s="59"/>
    </row>
    <row r="865" spans="3:12" ht="14.25" customHeight="1">
      <c r="C865" s="59"/>
      <c r="K865" s="60"/>
      <c r="L865" s="59"/>
    </row>
    <row r="866" spans="3:12" ht="14.25" customHeight="1">
      <c r="C866" s="59"/>
      <c r="K866" s="60"/>
      <c r="L866" s="59"/>
    </row>
    <row r="867" spans="3:12" ht="14.25" customHeight="1">
      <c r="C867" s="59"/>
      <c r="K867" s="60"/>
      <c r="L867" s="59"/>
    </row>
    <row r="868" spans="3:12" ht="14.25" customHeight="1">
      <c r="C868" s="59"/>
      <c r="K868" s="60"/>
      <c r="L868" s="59"/>
    </row>
    <row r="869" spans="3:12" ht="14.25" customHeight="1">
      <c r="C869" s="59"/>
      <c r="K869" s="60"/>
      <c r="L869" s="59"/>
    </row>
    <row r="870" spans="3:12" ht="14.25" customHeight="1">
      <c r="C870" s="59"/>
      <c r="K870" s="60"/>
      <c r="L870" s="59"/>
    </row>
    <row r="871" spans="3:12" ht="14.25" customHeight="1">
      <c r="C871" s="59"/>
      <c r="K871" s="60"/>
      <c r="L871" s="59"/>
    </row>
    <row r="872" spans="3:12" ht="14.25" customHeight="1">
      <c r="C872" s="59"/>
      <c r="K872" s="60"/>
      <c r="L872" s="59"/>
    </row>
    <row r="873" spans="3:12" ht="14.25" customHeight="1">
      <c r="C873" s="59"/>
      <c r="K873" s="60"/>
      <c r="L873" s="59"/>
    </row>
    <row r="874" spans="3:12" ht="14.25" customHeight="1">
      <c r="C874" s="59"/>
      <c r="K874" s="60"/>
      <c r="L874" s="59"/>
    </row>
    <row r="875" spans="3:12" ht="14.25" customHeight="1">
      <c r="C875" s="59"/>
      <c r="K875" s="60"/>
      <c r="L875" s="59"/>
    </row>
    <row r="876" spans="3:12" ht="14.25" customHeight="1">
      <c r="C876" s="59"/>
      <c r="K876" s="60"/>
      <c r="L876" s="59"/>
    </row>
    <row r="877" spans="3:12" ht="14.25" customHeight="1">
      <c r="C877" s="59"/>
      <c r="K877" s="60"/>
      <c r="L877" s="59"/>
    </row>
    <row r="878" spans="3:12" ht="14.25" customHeight="1">
      <c r="C878" s="59"/>
      <c r="K878" s="60"/>
      <c r="L878" s="59"/>
    </row>
    <row r="879" spans="3:12" ht="14.25" customHeight="1">
      <c r="C879" s="59"/>
      <c r="K879" s="60"/>
      <c r="L879" s="59"/>
    </row>
    <row r="880" spans="3:12" ht="14.25" customHeight="1">
      <c r="C880" s="59"/>
      <c r="K880" s="60"/>
      <c r="L880" s="59"/>
    </row>
    <row r="881" spans="3:12" ht="14.25" customHeight="1">
      <c r="C881" s="59"/>
      <c r="K881" s="60"/>
      <c r="L881" s="59"/>
    </row>
    <row r="882" spans="3:12" ht="14.25" customHeight="1">
      <c r="C882" s="59"/>
      <c r="K882" s="60"/>
      <c r="L882" s="59"/>
    </row>
    <row r="883" spans="3:12" ht="14.25" customHeight="1">
      <c r="C883" s="59"/>
      <c r="K883" s="60"/>
      <c r="L883" s="59"/>
    </row>
    <row r="884" spans="3:12" ht="14.25" customHeight="1">
      <c r="C884" s="59"/>
      <c r="K884" s="60"/>
      <c r="L884" s="59"/>
    </row>
    <row r="885" spans="3:12" ht="14.25" customHeight="1">
      <c r="C885" s="59"/>
      <c r="K885" s="60"/>
      <c r="L885" s="59"/>
    </row>
    <row r="886" spans="3:12" ht="14.25" customHeight="1">
      <c r="C886" s="59"/>
      <c r="K886" s="60"/>
      <c r="L886" s="59"/>
    </row>
    <row r="887" spans="3:12" ht="14.25" customHeight="1">
      <c r="C887" s="59"/>
      <c r="K887" s="60"/>
      <c r="L887" s="59"/>
    </row>
    <row r="888" spans="3:12" ht="14.25" customHeight="1">
      <c r="C888" s="59"/>
      <c r="K888" s="60"/>
      <c r="L888" s="59"/>
    </row>
    <row r="889" spans="3:12" ht="14.25" customHeight="1">
      <c r="C889" s="59"/>
      <c r="K889" s="60"/>
      <c r="L889" s="59"/>
    </row>
    <row r="890" spans="3:12" ht="14.25" customHeight="1">
      <c r="C890" s="59"/>
      <c r="K890" s="60"/>
      <c r="L890" s="59"/>
    </row>
    <row r="891" spans="3:12" ht="14.25" customHeight="1">
      <c r="C891" s="59"/>
      <c r="K891" s="60"/>
      <c r="L891" s="59"/>
    </row>
    <row r="892" spans="3:12" ht="14.25" customHeight="1">
      <c r="C892" s="59"/>
      <c r="K892" s="60"/>
      <c r="L892" s="59"/>
    </row>
    <row r="893" spans="3:12" ht="14.25" customHeight="1">
      <c r="C893" s="59"/>
      <c r="K893" s="60"/>
      <c r="L893" s="59"/>
    </row>
    <row r="894" spans="3:12" ht="14.25" customHeight="1">
      <c r="C894" s="59"/>
      <c r="K894" s="60"/>
      <c r="L894" s="59"/>
    </row>
    <row r="895" spans="3:12" ht="14.25" customHeight="1">
      <c r="C895" s="59"/>
      <c r="K895" s="60"/>
      <c r="L895" s="59"/>
    </row>
    <row r="896" spans="3:12" ht="14.25" customHeight="1">
      <c r="C896" s="59"/>
      <c r="K896" s="60"/>
      <c r="L896" s="59"/>
    </row>
    <row r="897" spans="3:12" ht="14.25" customHeight="1">
      <c r="C897" s="59"/>
      <c r="K897" s="60"/>
      <c r="L897" s="59"/>
    </row>
    <row r="898" spans="3:12" ht="14.25" customHeight="1">
      <c r="C898" s="59"/>
      <c r="K898" s="60"/>
      <c r="L898" s="59"/>
    </row>
    <row r="899" spans="3:12" ht="14.25" customHeight="1">
      <c r="C899" s="59"/>
      <c r="K899" s="60"/>
      <c r="L899" s="59"/>
    </row>
    <row r="900" spans="3:12" ht="14.25" customHeight="1">
      <c r="C900" s="59"/>
      <c r="K900" s="60"/>
      <c r="L900" s="59"/>
    </row>
    <row r="901" spans="3:12" ht="14.25" customHeight="1">
      <c r="C901" s="59"/>
      <c r="K901" s="60"/>
      <c r="L901" s="59"/>
    </row>
    <row r="902" spans="3:12" ht="14.25" customHeight="1">
      <c r="C902" s="59"/>
      <c r="K902" s="60"/>
      <c r="L902" s="59"/>
    </row>
    <row r="903" spans="3:12" ht="14.25" customHeight="1">
      <c r="C903" s="59"/>
      <c r="K903" s="60"/>
      <c r="L903" s="59"/>
    </row>
    <row r="904" spans="3:12" ht="14.25" customHeight="1">
      <c r="C904" s="59"/>
      <c r="K904" s="60"/>
      <c r="L904" s="59"/>
    </row>
    <row r="905" spans="3:12" ht="14.25" customHeight="1">
      <c r="C905" s="59"/>
      <c r="K905" s="60"/>
      <c r="L905" s="59"/>
    </row>
    <row r="906" spans="3:12" ht="14.25" customHeight="1">
      <c r="C906" s="59"/>
      <c r="K906" s="60"/>
      <c r="L906" s="59"/>
    </row>
    <row r="907" spans="3:12" ht="14.25" customHeight="1">
      <c r="C907" s="59"/>
      <c r="K907" s="60"/>
      <c r="L907" s="59"/>
    </row>
    <row r="908" spans="3:12" ht="14.25" customHeight="1">
      <c r="C908" s="59"/>
      <c r="K908" s="60"/>
      <c r="L908" s="59"/>
    </row>
    <row r="909" spans="3:12" ht="14.25" customHeight="1">
      <c r="C909" s="59"/>
      <c r="K909" s="60"/>
      <c r="L909" s="59"/>
    </row>
    <row r="910" spans="3:12" ht="14.25" customHeight="1">
      <c r="C910" s="59"/>
      <c r="K910" s="60"/>
      <c r="L910" s="59"/>
    </row>
    <row r="911" spans="3:12" ht="14.25" customHeight="1">
      <c r="C911" s="59"/>
      <c r="K911" s="60"/>
      <c r="L911" s="59"/>
    </row>
    <row r="912" spans="3:12" ht="14.25" customHeight="1">
      <c r="C912" s="59"/>
      <c r="K912" s="60"/>
      <c r="L912" s="59"/>
    </row>
    <row r="913" spans="3:12" ht="14.25" customHeight="1">
      <c r="C913" s="59"/>
      <c r="K913" s="60"/>
      <c r="L913" s="59"/>
    </row>
    <row r="914" spans="3:12" ht="14.25" customHeight="1">
      <c r="C914" s="59"/>
      <c r="K914" s="60"/>
      <c r="L914" s="59"/>
    </row>
    <row r="915" spans="3:12" ht="14.25" customHeight="1">
      <c r="C915" s="59"/>
      <c r="K915" s="60"/>
      <c r="L915" s="59"/>
    </row>
    <row r="916" spans="3:12" ht="14.25" customHeight="1">
      <c r="C916" s="59"/>
      <c r="K916" s="60"/>
      <c r="L916" s="59"/>
    </row>
    <row r="917" spans="3:12" ht="14.25" customHeight="1">
      <c r="C917" s="59"/>
      <c r="K917" s="60"/>
      <c r="L917" s="59"/>
    </row>
    <row r="918" spans="3:12" ht="14.25" customHeight="1">
      <c r="C918" s="59"/>
      <c r="K918" s="60"/>
      <c r="L918" s="59"/>
    </row>
    <row r="919" spans="3:12" ht="14.25" customHeight="1">
      <c r="C919" s="59"/>
      <c r="K919" s="60"/>
      <c r="L919" s="59"/>
    </row>
    <row r="920" spans="3:12" ht="14.25" customHeight="1">
      <c r="C920" s="59"/>
      <c r="K920" s="60"/>
      <c r="L920" s="59"/>
    </row>
    <row r="921" spans="3:12" ht="14.25" customHeight="1">
      <c r="C921" s="59"/>
      <c r="K921" s="60"/>
      <c r="L921" s="59"/>
    </row>
    <row r="922" spans="3:12" ht="14.25" customHeight="1">
      <c r="C922" s="59"/>
      <c r="K922" s="60"/>
      <c r="L922" s="59"/>
    </row>
    <row r="923" spans="3:12" ht="14.25" customHeight="1">
      <c r="C923" s="59"/>
      <c r="K923" s="60"/>
      <c r="L923" s="59"/>
    </row>
    <row r="924" spans="3:12" ht="14.25" customHeight="1">
      <c r="C924" s="59"/>
      <c r="K924" s="60"/>
      <c r="L924" s="59"/>
    </row>
    <row r="925" spans="3:12" ht="14.25" customHeight="1">
      <c r="C925" s="59"/>
      <c r="K925" s="60"/>
      <c r="L925" s="59"/>
    </row>
    <row r="926" spans="3:12" ht="14.25" customHeight="1">
      <c r="C926" s="59"/>
      <c r="K926" s="60"/>
      <c r="L926" s="59"/>
    </row>
    <row r="927" spans="3:12" ht="14.25" customHeight="1">
      <c r="C927" s="59"/>
      <c r="K927" s="60"/>
      <c r="L927" s="59"/>
    </row>
    <row r="928" spans="3:12" ht="14.25" customHeight="1">
      <c r="C928" s="59"/>
      <c r="K928" s="60"/>
      <c r="L928" s="59"/>
    </row>
    <row r="929" spans="3:12" ht="14.25" customHeight="1">
      <c r="C929" s="59"/>
      <c r="K929" s="60"/>
      <c r="L929" s="59"/>
    </row>
    <row r="930" spans="3:12" ht="14.25" customHeight="1">
      <c r="C930" s="59"/>
      <c r="K930" s="60"/>
      <c r="L930" s="59"/>
    </row>
    <row r="931" spans="3:12" ht="14.25" customHeight="1">
      <c r="C931" s="59"/>
      <c r="K931" s="60"/>
      <c r="L931" s="59"/>
    </row>
    <row r="932" spans="3:12" ht="14.25" customHeight="1">
      <c r="C932" s="59"/>
      <c r="K932" s="60"/>
      <c r="L932" s="59"/>
    </row>
    <row r="933" spans="3:12" ht="14.25" customHeight="1">
      <c r="C933" s="59"/>
      <c r="K933" s="60"/>
      <c r="L933" s="59"/>
    </row>
    <row r="934" spans="3:12" ht="14.25" customHeight="1">
      <c r="C934" s="59"/>
      <c r="K934" s="60"/>
      <c r="L934" s="59"/>
    </row>
    <row r="935" spans="3:12" ht="14.25" customHeight="1">
      <c r="C935" s="59"/>
      <c r="K935" s="60"/>
      <c r="L935" s="59"/>
    </row>
    <row r="936" spans="3:12" ht="14.25" customHeight="1">
      <c r="C936" s="59"/>
      <c r="K936" s="60"/>
      <c r="L936" s="59"/>
    </row>
    <row r="937" spans="3:12" ht="14.25" customHeight="1">
      <c r="C937" s="59"/>
      <c r="K937" s="60"/>
      <c r="L937" s="59"/>
    </row>
    <row r="938" spans="3:12" ht="14.25" customHeight="1">
      <c r="C938" s="59"/>
      <c r="K938" s="60"/>
      <c r="L938" s="59"/>
    </row>
    <row r="939" spans="3:12" ht="14.25" customHeight="1">
      <c r="C939" s="59"/>
      <c r="K939" s="60"/>
      <c r="L939" s="59"/>
    </row>
    <row r="940" spans="3:12" ht="14.25" customHeight="1">
      <c r="C940" s="59"/>
      <c r="K940" s="60"/>
      <c r="L940" s="59"/>
    </row>
    <row r="941" spans="3:12" ht="14.25" customHeight="1">
      <c r="C941" s="59"/>
      <c r="K941" s="60"/>
      <c r="L941" s="59"/>
    </row>
    <row r="942" spans="3:12" ht="14.25" customHeight="1">
      <c r="C942" s="59"/>
      <c r="K942" s="60"/>
      <c r="L942" s="59"/>
    </row>
    <row r="943" spans="3:12" ht="14.25" customHeight="1">
      <c r="C943" s="59"/>
      <c r="K943" s="60"/>
      <c r="L943" s="59"/>
    </row>
    <row r="944" spans="3:12" ht="14.25" customHeight="1">
      <c r="C944" s="59"/>
      <c r="K944" s="60"/>
      <c r="L944" s="59"/>
    </row>
    <row r="945" spans="3:12" ht="14.25" customHeight="1">
      <c r="C945" s="59"/>
      <c r="K945" s="60"/>
      <c r="L945" s="59"/>
    </row>
    <row r="946" spans="3:12" ht="14.25" customHeight="1">
      <c r="C946" s="59"/>
      <c r="K946" s="60"/>
      <c r="L946" s="59"/>
    </row>
    <row r="947" spans="3:12" ht="14.25" customHeight="1">
      <c r="C947" s="59"/>
      <c r="K947" s="60"/>
      <c r="L947" s="59"/>
    </row>
    <row r="948" spans="3:12" ht="14.25" customHeight="1">
      <c r="C948" s="59"/>
      <c r="K948" s="60"/>
      <c r="L948" s="59"/>
    </row>
    <row r="949" spans="3:12" ht="14.25" customHeight="1">
      <c r="C949" s="59"/>
      <c r="K949" s="60"/>
      <c r="L949" s="59"/>
    </row>
    <row r="950" spans="3:12" ht="14.25" customHeight="1">
      <c r="C950" s="59"/>
      <c r="K950" s="60"/>
      <c r="L950" s="59"/>
    </row>
    <row r="951" spans="3:12" ht="14.25" customHeight="1">
      <c r="C951" s="59"/>
      <c r="K951" s="60"/>
      <c r="L951" s="59"/>
    </row>
    <row r="952" spans="3:12" ht="14.25" customHeight="1">
      <c r="C952" s="59"/>
      <c r="K952" s="60"/>
      <c r="L952" s="59"/>
    </row>
    <row r="953" spans="3:12" ht="14.25" customHeight="1">
      <c r="C953" s="59"/>
      <c r="K953" s="60"/>
      <c r="L953" s="59"/>
    </row>
    <row r="954" spans="3:12" ht="14.25" customHeight="1">
      <c r="C954" s="59"/>
      <c r="K954" s="60"/>
      <c r="L954" s="59"/>
    </row>
    <row r="955" spans="3:12" ht="14.25" customHeight="1">
      <c r="C955" s="59"/>
      <c r="K955" s="60"/>
      <c r="L955" s="59"/>
    </row>
    <row r="956" spans="3:12" ht="14.25" customHeight="1">
      <c r="C956" s="59"/>
      <c r="K956" s="60"/>
      <c r="L956" s="59"/>
    </row>
    <row r="957" spans="3:12" ht="14.25" customHeight="1">
      <c r="C957" s="59"/>
      <c r="K957" s="60"/>
      <c r="L957" s="59"/>
    </row>
    <row r="958" spans="3:12" ht="14.25" customHeight="1">
      <c r="C958" s="59"/>
      <c r="K958" s="60"/>
      <c r="L958" s="59"/>
    </row>
    <row r="959" spans="3:12" ht="14.25" customHeight="1">
      <c r="C959" s="59"/>
      <c r="K959" s="60"/>
      <c r="L959" s="59"/>
    </row>
    <row r="960" spans="3:12" ht="14.25" customHeight="1">
      <c r="C960" s="59"/>
      <c r="K960" s="60"/>
      <c r="L960" s="59"/>
    </row>
    <row r="961" spans="3:12" ht="14.25" customHeight="1">
      <c r="C961" s="59"/>
      <c r="K961" s="60"/>
      <c r="L961" s="59"/>
    </row>
    <row r="962" spans="3:12" ht="14.25" customHeight="1">
      <c r="C962" s="59"/>
      <c r="K962" s="60"/>
      <c r="L962" s="59"/>
    </row>
    <row r="963" spans="3:12" ht="14.25" customHeight="1">
      <c r="C963" s="59"/>
      <c r="K963" s="60"/>
      <c r="L963" s="59"/>
    </row>
    <row r="964" spans="3:12" ht="14.25" customHeight="1">
      <c r="C964" s="59"/>
      <c r="K964" s="60"/>
      <c r="L964" s="59"/>
    </row>
    <row r="965" spans="3:12" ht="14.25" customHeight="1">
      <c r="C965" s="59"/>
      <c r="K965" s="60"/>
      <c r="L965" s="59"/>
    </row>
    <row r="966" spans="3:12" ht="14.25" customHeight="1">
      <c r="C966" s="59"/>
      <c r="K966" s="60"/>
      <c r="L966" s="59"/>
    </row>
    <row r="967" spans="3:12" ht="14.25" customHeight="1">
      <c r="C967" s="59"/>
      <c r="K967" s="60"/>
      <c r="L967" s="59"/>
    </row>
    <row r="968" spans="3:12" ht="14.25" customHeight="1">
      <c r="C968" s="59"/>
      <c r="K968" s="60"/>
      <c r="L968" s="59"/>
    </row>
    <row r="969" spans="3:12" ht="14.25" customHeight="1">
      <c r="C969" s="59"/>
      <c r="K969" s="60"/>
      <c r="L969" s="59"/>
    </row>
    <row r="970" spans="3:12" ht="14.25" customHeight="1">
      <c r="C970" s="59"/>
      <c r="K970" s="60"/>
      <c r="L970" s="59"/>
    </row>
    <row r="971" spans="3:12" ht="14.25" customHeight="1">
      <c r="C971" s="59"/>
      <c r="K971" s="60"/>
      <c r="L971" s="59"/>
    </row>
    <row r="972" spans="3:12" ht="14.25" customHeight="1">
      <c r="C972" s="59"/>
      <c r="K972" s="60"/>
      <c r="L972" s="59"/>
    </row>
    <row r="973" spans="3:12" ht="14.25" customHeight="1">
      <c r="C973" s="59"/>
      <c r="K973" s="60"/>
      <c r="L973" s="59"/>
    </row>
    <row r="974" spans="3:12" ht="14.25" customHeight="1">
      <c r="C974" s="59"/>
      <c r="K974" s="60"/>
      <c r="L974" s="59"/>
    </row>
    <row r="975" spans="3:12" ht="14.25" customHeight="1">
      <c r="C975" s="59"/>
      <c r="K975" s="60"/>
      <c r="L975" s="59"/>
    </row>
    <row r="976" spans="3:12" ht="14.25" customHeight="1">
      <c r="C976" s="59"/>
      <c r="K976" s="60"/>
      <c r="L976" s="59"/>
    </row>
    <row r="977" spans="3:12" ht="14.25" customHeight="1">
      <c r="C977" s="59"/>
      <c r="K977" s="60"/>
      <c r="L977" s="59"/>
    </row>
    <row r="978" spans="3:12" ht="14.25" customHeight="1">
      <c r="C978" s="59"/>
      <c r="K978" s="60"/>
      <c r="L978" s="59"/>
    </row>
    <row r="979" spans="3:12" ht="14.25" customHeight="1">
      <c r="C979" s="59"/>
      <c r="K979" s="60"/>
      <c r="L979" s="59"/>
    </row>
    <row r="980" spans="3:12" ht="14.25" customHeight="1">
      <c r="C980" s="59"/>
      <c r="K980" s="60"/>
      <c r="L980" s="59"/>
    </row>
    <row r="981" spans="3:12" ht="14.25" customHeight="1">
      <c r="C981" s="59"/>
      <c r="K981" s="60"/>
      <c r="L981" s="59"/>
    </row>
    <row r="982" spans="3:12" ht="14.25" customHeight="1">
      <c r="C982" s="59"/>
      <c r="K982" s="60"/>
      <c r="L982" s="59"/>
    </row>
    <row r="983" spans="3:12" ht="14.25" customHeight="1">
      <c r="C983" s="59"/>
      <c r="K983" s="60"/>
      <c r="L983" s="59"/>
    </row>
    <row r="984" spans="3:12" ht="14.25" customHeight="1">
      <c r="C984" s="59"/>
      <c r="K984" s="60"/>
      <c r="L984" s="59"/>
    </row>
    <row r="985" spans="3:12" ht="14.25" customHeight="1">
      <c r="C985" s="59"/>
      <c r="K985" s="60"/>
      <c r="L985" s="59"/>
    </row>
    <row r="986" spans="3:12" ht="14.25" customHeight="1">
      <c r="C986" s="59"/>
      <c r="K986" s="60"/>
      <c r="L986" s="59"/>
    </row>
    <row r="987" spans="3:12" ht="14.25" customHeight="1">
      <c r="C987" s="59"/>
      <c r="K987" s="60"/>
      <c r="L987" s="59"/>
    </row>
    <row r="988" spans="3:12" ht="14.25" customHeight="1">
      <c r="C988" s="59"/>
      <c r="K988" s="60"/>
      <c r="L988" s="59"/>
    </row>
    <row r="989" spans="3:12" ht="14.25" customHeight="1">
      <c r="C989" s="59"/>
      <c r="K989" s="60"/>
      <c r="L989" s="59"/>
    </row>
    <row r="990" spans="3:12" ht="14.25" customHeight="1">
      <c r="C990" s="59"/>
      <c r="K990" s="60"/>
      <c r="L990" s="59"/>
    </row>
    <row r="991" spans="3:12" ht="14.25" customHeight="1">
      <c r="C991" s="59"/>
      <c r="K991" s="60"/>
      <c r="L991" s="59"/>
    </row>
    <row r="992" spans="3:12" ht="14.25" customHeight="1">
      <c r="C992" s="59"/>
      <c r="K992" s="60"/>
      <c r="L992" s="59"/>
    </row>
    <row r="993" spans="3:12" ht="14.25" customHeight="1">
      <c r="C993" s="59"/>
      <c r="K993" s="60"/>
      <c r="L993" s="59"/>
    </row>
    <row r="994" spans="3:12" ht="14.25" customHeight="1">
      <c r="C994" s="59"/>
      <c r="K994" s="60"/>
      <c r="L994" s="59"/>
    </row>
    <row r="995" spans="3:12" ht="14.25" customHeight="1">
      <c r="C995" s="59"/>
      <c r="K995" s="60"/>
      <c r="L995" s="59"/>
    </row>
    <row r="996" spans="3:12" ht="14.25" customHeight="1">
      <c r="C996" s="59"/>
      <c r="K996" s="60"/>
      <c r="L996" s="59"/>
    </row>
    <row r="997" spans="3:12" ht="14.25" customHeight="1">
      <c r="C997" s="59"/>
      <c r="K997" s="60"/>
      <c r="L997" s="59"/>
    </row>
    <row r="998" spans="3:12" ht="14.25" customHeight="1">
      <c r="C998" s="59"/>
      <c r="K998" s="60"/>
      <c r="L998" s="59"/>
    </row>
    <row r="999" spans="3:12" ht="14.25" customHeight="1">
      <c r="C999" s="59"/>
      <c r="K999" s="60"/>
      <c r="L999" s="59"/>
    </row>
    <row r="1000" spans="3:12" ht="14.25" customHeight="1">
      <c r="C1000" s="59"/>
      <c r="K1000" s="60"/>
      <c r="L1000" s="5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defaultColWidth="14.44140625" defaultRowHeight="15" customHeight="1"/>
  <cols>
    <col min="1" max="1" width="8.5546875" customWidth="1"/>
    <col min="2" max="2" width="24" hidden="1" customWidth="1"/>
    <col min="3" max="3" width="9.33203125" hidden="1" customWidth="1"/>
    <col min="4" max="4" width="39.33203125" customWidth="1"/>
    <col min="5" max="5" width="22.33203125" customWidth="1"/>
    <col min="6" max="6" width="13" customWidth="1"/>
    <col min="7" max="7" width="10.5546875" customWidth="1"/>
    <col min="8" max="8" width="19.109375" customWidth="1"/>
    <col min="9" max="9" width="17.5546875" customWidth="1"/>
    <col min="10" max="10" width="33.33203125" customWidth="1"/>
    <col min="11" max="11" width="17.5546875" customWidth="1"/>
    <col min="12" max="12" width="17.44140625" customWidth="1"/>
    <col min="13" max="13" width="19" customWidth="1"/>
    <col min="14" max="27" width="8.6640625" customWidth="1"/>
  </cols>
  <sheetData>
    <row r="1" spans="1:27" ht="14.25" customHeight="1">
      <c r="A1" s="3" t="s">
        <v>1</v>
      </c>
      <c r="B1" s="3" t="s">
        <v>3</v>
      </c>
      <c r="C1" s="3" t="s">
        <v>4</v>
      </c>
      <c r="D1" s="3" t="s">
        <v>0</v>
      </c>
      <c r="E1" s="3" t="s">
        <v>5</v>
      </c>
      <c r="F1" s="3" t="s">
        <v>9</v>
      </c>
      <c r="G1" s="5" t="s">
        <v>14</v>
      </c>
      <c r="H1" s="5" t="s">
        <v>18</v>
      </c>
      <c r="I1" s="5" t="s">
        <v>19</v>
      </c>
      <c r="J1" s="5" t="s">
        <v>6</v>
      </c>
      <c r="K1" s="5" t="s">
        <v>20</v>
      </c>
      <c r="L1" s="5" t="s">
        <v>2</v>
      </c>
      <c r="M1" s="5" t="s">
        <v>21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4.25" customHeight="1">
      <c r="A2" s="79" t="s">
        <v>33</v>
      </c>
      <c r="B2" s="80"/>
      <c r="C2" s="80"/>
      <c r="D2" s="80"/>
      <c r="E2" s="80"/>
      <c r="F2" s="80"/>
      <c r="G2" s="81"/>
      <c r="H2" s="17"/>
      <c r="I2" s="10"/>
      <c r="J2" s="10"/>
      <c r="K2" s="10"/>
      <c r="L2" s="10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10">
        <v>201</v>
      </c>
      <c r="B3" s="10" t="s">
        <v>107</v>
      </c>
      <c r="C3" s="10" t="s">
        <v>23</v>
      </c>
      <c r="D3" s="10" t="s">
        <v>110</v>
      </c>
      <c r="E3" s="10" t="s">
        <v>45</v>
      </c>
      <c r="F3" s="10" t="s">
        <v>113</v>
      </c>
      <c r="G3" s="19" t="s">
        <v>34</v>
      </c>
      <c r="H3" s="20"/>
      <c r="I3" s="19" t="s">
        <v>129</v>
      </c>
      <c r="J3" s="10" t="s">
        <v>135</v>
      </c>
      <c r="K3" s="19"/>
      <c r="L3" s="1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10">
        <v>209</v>
      </c>
      <c r="B4" s="10" t="s">
        <v>107</v>
      </c>
      <c r="C4" s="10" t="s">
        <v>23</v>
      </c>
      <c r="D4" s="10" t="s">
        <v>150</v>
      </c>
      <c r="E4" s="10" t="s">
        <v>45</v>
      </c>
      <c r="F4" s="10" t="s">
        <v>153</v>
      </c>
      <c r="G4" s="19" t="s">
        <v>43</v>
      </c>
      <c r="H4" s="20"/>
      <c r="I4" s="19"/>
      <c r="J4" s="19"/>
      <c r="K4" s="19"/>
      <c r="L4" s="19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10">
        <v>214</v>
      </c>
      <c r="B5" s="10" t="s">
        <v>107</v>
      </c>
      <c r="C5" s="10" t="s">
        <v>23</v>
      </c>
      <c r="D5" s="10" t="s">
        <v>163</v>
      </c>
      <c r="E5" s="10" t="s">
        <v>36</v>
      </c>
      <c r="F5" s="10" t="s">
        <v>167</v>
      </c>
      <c r="G5" s="19" t="s">
        <v>52</v>
      </c>
      <c r="H5" s="20"/>
      <c r="I5" s="19"/>
      <c r="J5" s="19"/>
      <c r="K5" s="19"/>
      <c r="L5" s="1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79" t="s">
        <v>182</v>
      </c>
      <c r="B6" s="80"/>
      <c r="C6" s="80"/>
      <c r="D6" s="80"/>
      <c r="E6" s="80"/>
      <c r="F6" s="80"/>
      <c r="G6" s="81"/>
      <c r="H6" s="17"/>
      <c r="I6" s="10"/>
      <c r="J6" s="10"/>
      <c r="K6" s="10"/>
      <c r="L6" s="10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10">
        <v>236</v>
      </c>
      <c r="B7" s="10" t="s">
        <v>107</v>
      </c>
      <c r="C7" s="10" t="s">
        <v>141</v>
      </c>
      <c r="D7" s="10" t="s">
        <v>203</v>
      </c>
      <c r="E7" s="10" t="s">
        <v>36</v>
      </c>
      <c r="F7" s="10" t="s">
        <v>206</v>
      </c>
      <c r="G7" s="19" t="s">
        <v>34</v>
      </c>
      <c r="H7" s="20"/>
      <c r="I7" s="19" t="s">
        <v>129</v>
      </c>
      <c r="J7" s="10" t="s">
        <v>211</v>
      </c>
      <c r="K7" s="19"/>
      <c r="L7" s="19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10">
        <v>239</v>
      </c>
      <c r="B8" s="10" t="s">
        <v>107</v>
      </c>
      <c r="C8" s="10" t="s">
        <v>141</v>
      </c>
      <c r="D8" s="10" t="s">
        <v>223</v>
      </c>
      <c r="E8" s="10" t="s">
        <v>45</v>
      </c>
      <c r="F8" s="10" t="s">
        <v>224</v>
      </c>
      <c r="G8" s="19" t="s">
        <v>43</v>
      </c>
      <c r="H8" s="20"/>
      <c r="I8" s="19"/>
      <c r="J8" s="19"/>
      <c r="K8" s="19"/>
      <c r="L8" s="1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10">
        <v>235</v>
      </c>
      <c r="B9" s="10" t="s">
        <v>107</v>
      </c>
      <c r="C9" s="10" t="s">
        <v>141</v>
      </c>
      <c r="D9" s="10" t="s">
        <v>234</v>
      </c>
      <c r="E9" s="10" t="s">
        <v>45</v>
      </c>
      <c r="F9" s="10" t="s">
        <v>236</v>
      </c>
      <c r="G9" s="19" t="s">
        <v>52</v>
      </c>
      <c r="H9" s="20"/>
      <c r="I9" s="19"/>
      <c r="J9" s="19"/>
      <c r="K9" s="19"/>
      <c r="L9" s="1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79" t="s">
        <v>245</v>
      </c>
      <c r="B10" s="80"/>
      <c r="C10" s="80"/>
      <c r="D10" s="80"/>
      <c r="E10" s="80"/>
      <c r="F10" s="80"/>
      <c r="G10" s="81"/>
      <c r="H10" s="17"/>
      <c r="I10" s="10"/>
      <c r="J10" s="10"/>
      <c r="K10" s="10"/>
      <c r="L10" s="10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10">
        <v>156</v>
      </c>
      <c r="B11" s="10" t="s">
        <v>260</v>
      </c>
      <c r="C11" s="10" t="s">
        <v>141</v>
      </c>
      <c r="D11" s="10" t="s">
        <v>262</v>
      </c>
      <c r="E11" s="10" t="s">
        <v>264</v>
      </c>
      <c r="F11" s="10" t="s">
        <v>266</v>
      </c>
      <c r="G11" s="19" t="s">
        <v>34</v>
      </c>
      <c r="H11" s="20"/>
      <c r="I11" s="19"/>
      <c r="J11" s="19"/>
      <c r="K11" s="19"/>
      <c r="L11" s="1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10">
        <v>160</v>
      </c>
      <c r="B12" s="10" t="s">
        <v>260</v>
      </c>
      <c r="C12" s="10" t="s">
        <v>141</v>
      </c>
      <c r="D12" s="10" t="s">
        <v>279</v>
      </c>
      <c r="E12" s="10" t="s">
        <v>281</v>
      </c>
      <c r="F12" s="10" t="s">
        <v>283</v>
      </c>
      <c r="G12" s="19" t="s">
        <v>43</v>
      </c>
      <c r="H12" s="20"/>
      <c r="I12" s="19"/>
      <c r="J12" s="19"/>
      <c r="K12" s="19"/>
      <c r="L12" s="1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10">
        <v>175</v>
      </c>
      <c r="B13" s="10" t="s">
        <v>260</v>
      </c>
      <c r="C13" s="10" t="s">
        <v>141</v>
      </c>
      <c r="D13" s="10" t="s">
        <v>292</v>
      </c>
      <c r="E13" s="10" t="s">
        <v>294</v>
      </c>
      <c r="F13" s="10" t="s">
        <v>297</v>
      </c>
      <c r="G13" s="19" t="s">
        <v>52</v>
      </c>
      <c r="H13" s="20"/>
      <c r="I13" s="19"/>
      <c r="J13" s="19"/>
      <c r="K13" s="19"/>
      <c r="L13" s="1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79" t="s">
        <v>308</v>
      </c>
      <c r="B14" s="80"/>
      <c r="C14" s="80"/>
      <c r="D14" s="80"/>
      <c r="E14" s="80"/>
      <c r="F14" s="80"/>
      <c r="G14" s="81"/>
      <c r="H14" s="17"/>
      <c r="I14" s="10"/>
      <c r="J14" s="10"/>
      <c r="K14" s="10"/>
      <c r="L14" s="10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10">
        <v>133</v>
      </c>
      <c r="B15" s="10" t="s">
        <v>331</v>
      </c>
      <c r="C15" s="10" t="s">
        <v>23</v>
      </c>
      <c r="D15" s="10" t="s">
        <v>332</v>
      </c>
      <c r="E15" s="10" t="s">
        <v>334</v>
      </c>
      <c r="F15" s="10" t="s">
        <v>336</v>
      </c>
      <c r="G15" s="19" t="s">
        <v>34</v>
      </c>
      <c r="H15" s="20"/>
      <c r="I15" s="19"/>
      <c r="J15" s="19"/>
      <c r="K15" s="19"/>
      <c r="L15" s="1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10">
        <v>130</v>
      </c>
      <c r="B16" s="10" t="s">
        <v>331</v>
      </c>
      <c r="C16" s="10" t="s">
        <v>23</v>
      </c>
      <c r="D16" s="10" t="s">
        <v>347</v>
      </c>
      <c r="E16" s="10" t="s">
        <v>349</v>
      </c>
      <c r="F16" s="10" t="s">
        <v>350</v>
      </c>
      <c r="G16" s="19" t="s">
        <v>43</v>
      </c>
      <c r="H16" s="20"/>
      <c r="I16" s="19"/>
      <c r="J16" s="19"/>
      <c r="K16" s="19"/>
      <c r="L16" s="1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79" t="s">
        <v>359</v>
      </c>
      <c r="B17" s="80"/>
      <c r="C17" s="80"/>
      <c r="D17" s="80"/>
      <c r="E17" s="80"/>
      <c r="F17" s="80"/>
      <c r="G17" s="81"/>
      <c r="H17" s="17"/>
      <c r="I17" s="10"/>
      <c r="J17" s="10"/>
      <c r="K17" s="10"/>
      <c r="L17" s="10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10">
        <v>146</v>
      </c>
      <c r="B18" s="10" t="s">
        <v>331</v>
      </c>
      <c r="C18" s="10" t="s">
        <v>141</v>
      </c>
      <c r="D18" s="10" t="s">
        <v>378</v>
      </c>
      <c r="E18" s="10" t="s">
        <v>349</v>
      </c>
      <c r="F18" s="10" t="s">
        <v>380</v>
      </c>
      <c r="G18" s="19" t="s">
        <v>34</v>
      </c>
      <c r="H18" s="20"/>
      <c r="I18" s="19"/>
      <c r="J18" s="19"/>
      <c r="K18" s="19"/>
      <c r="L18" s="1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10">
        <v>172</v>
      </c>
      <c r="B19" s="10" t="s">
        <v>331</v>
      </c>
      <c r="C19" s="10" t="s">
        <v>141</v>
      </c>
      <c r="D19" s="10" t="s">
        <v>388</v>
      </c>
      <c r="E19" s="10" t="s">
        <v>390</v>
      </c>
      <c r="F19" s="10" t="s">
        <v>391</v>
      </c>
      <c r="G19" s="19" t="s">
        <v>43</v>
      </c>
      <c r="H19" s="20"/>
      <c r="I19" s="19"/>
      <c r="J19" s="19"/>
      <c r="K19" s="19"/>
      <c r="L19" s="1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10">
        <v>149</v>
      </c>
      <c r="B20" s="10" t="s">
        <v>331</v>
      </c>
      <c r="C20" s="10" t="s">
        <v>141</v>
      </c>
      <c r="D20" s="10" t="s">
        <v>401</v>
      </c>
      <c r="E20" s="10" t="s">
        <v>183</v>
      </c>
      <c r="F20" s="10" t="s">
        <v>402</v>
      </c>
      <c r="G20" s="19" t="s">
        <v>52</v>
      </c>
      <c r="H20" s="20"/>
      <c r="I20" s="19"/>
      <c r="J20" s="19"/>
      <c r="K20" s="19"/>
      <c r="L20" s="19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79" t="s">
        <v>412</v>
      </c>
      <c r="B21" s="80"/>
      <c r="C21" s="80"/>
      <c r="D21" s="80"/>
      <c r="E21" s="80"/>
      <c r="F21" s="80"/>
      <c r="G21" s="81"/>
      <c r="H21" s="17"/>
      <c r="I21" s="10"/>
      <c r="J21" s="10"/>
      <c r="K21" s="10"/>
      <c r="L21" s="10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10">
        <v>194</v>
      </c>
      <c r="B22" s="10" t="s">
        <v>430</v>
      </c>
      <c r="C22" s="10" t="s">
        <v>141</v>
      </c>
      <c r="D22" s="10" t="s">
        <v>433</v>
      </c>
      <c r="E22" s="10" t="s">
        <v>390</v>
      </c>
      <c r="F22" s="10" t="s">
        <v>434</v>
      </c>
      <c r="G22" s="19" t="s">
        <v>34</v>
      </c>
      <c r="H22" s="20"/>
      <c r="I22" s="19"/>
      <c r="J22" s="19"/>
      <c r="K22" s="19"/>
      <c r="L22" s="1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10">
        <v>164</v>
      </c>
      <c r="B23" s="10" t="s">
        <v>430</v>
      </c>
      <c r="C23" s="10" t="s">
        <v>141</v>
      </c>
      <c r="D23" s="10" t="s">
        <v>444</v>
      </c>
      <c r="E23" s="10" t="s">
        <v>446</v>
      </c>
      <c r="F23" s="10" t="s">
        <v>448</v>
      </c>
      <c r="G23" s="19" t="s">
        <v>43</v>
      </c>
      <c r="H23" s="20"/>
      <c r="I23" s="19"/>
      <c r="J23" s="19"/>
      <c r="K23" s="19"/>
      <c r="L23" s="1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10">
        <v>189</v>
      </c>
      <c r="B24" s="10" t="s">
        <v>430</v>
      </c>
      <c r="C24" s="10" t="s">
        <v>141</v>
      </c>
      <c r="D24" s="10" t="s">
        <v>360</v>
      </c>
      <c r="E24" s="10" t="s">
        <v>458</v>
      </c>
      <c r="F24" s="10" t="s">
        <v>460</v>
      </c>
      <c r="G24" s="19" t="s">
        <v>52</v>
      </c>
      <c r="H24" s="20"/>
      <c r="I24" s="19"/>
      <c r="J24" s="19"/>
      <c r="K24" s="19"/>
      <c r="L24" s="1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79" t="s">
        <v>469</v>
      </c>
      <c r="B25" s="80"/>
      <c r="C25" s="80"/>
      <c r="D25" s="80"/>
      <c r="E25" s="80"/>
      <c r="F25" s="80"/>
      <c r="G25" s="81"/>
      <c r="H25" s="17"/>
      <c r="I25" s="10"/>
      <c r="J25" s="10"/>
      <c r="K25" s="10"/>
      <c r="L25" s="10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10">
        <v>192</v>
      </c>
      <c r="B26" s="10" t="s">
        <v>480</v>
      </c>
      <c r="C26" s="10" t="s">
        <v>141</v>
      </c>
      <c r="D26" s="10" t="s">
        <v>482</v>
      </c>
      <c r="E26" s="10" t="s">
        <v>334</v>
      </c>
      <c r="F26" s="10" t="s">
        <v>483</v>
      </c>
      <c r="G26" s="19" t="s">
        <v>34</v>
      </c>
      <c r="H26" s="20"/>
      <c r="I26" s="19"/>
      <c r="J26" s="19"/>
      <c r="K26" s="19"/>
      <c r="L26" s="19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10">
        <v>120</v>
      </c>
      <c r="B27" s="10" t="s">
        <v>480</v>
      </c>
      <c r="C27" s="10" t="s">
        <v>141</v>
      </c>
      <c r="D27" s="10" t="s">
        <v>487</v>
      </c>
      <c r="E27" s="10" t="s">
        <v>446</v>
      </c>
      <c r="F27" s="10" t="s">
        <v>490</v>
      </c>
      <c r="G27" s="19" t="s">
        <v>43</v>
      </c>
      <c r="H27" s="20"/>
      <c r="I27" s="19"/>
      <c r="J27" s="19"/>
      <c r="K27" s="19"/>
      <c r="L27" s="1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10">
        <v>114</v>
      </c>
      <c r="B28" s="10" t="s">
        <v>480</v>
      </c>
      <c r="C28" s="10" t="s">
        <v>141</v>
      </c>
      <c r="D28" s="10" t="s">
        <v>496</v>
      </c>
      <c r="E28" s="10" t="s">
        <v>446</v>
      </c>
      <c r="F28" s="10" t="s">
        <v>498</v>
      </c>
      <c r="G28" s="19" t="s">
        <v>52</v>
      </c>
      <c r="H28" s="20"/>
      <c r="I28" s="19"/>
      <c r="J28" s="19"/>
      <c r="K28" s="19"/>
      <c r="L28" s="1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79" t="s">
        <v>506</v>
      </c>
      <c r="B29" s="80"/>
      <c r="C29" s="80"/>
      <c r="D29" s="80"/>
      <c r="E29" s="80"/>
      <c r="F29" s="80"/>
      <c r="G29" s="81"/>
      <c r="H29" s="17"/>
      <c r="I29" s="10"/>
      <c r="J29" s="10"/>
      <c r="K29" s="10"/>
      <c r="L29" s="10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10">
        <v>101</v>
      </c>
      <c r="B30" s="10" t="s">
        <v>519</v>
      </c>
      <c r="C30" s="10" t="s">
        <v>141</v>
      </c>
      <c r="D30" s="10" t="s">
        <v>523</v>
      </c>
      <c r="E30" s="10" t="s">
        <v>390</v>
      </c>
      <c r="F30" s="10" t="s">
        <v>526</v>
      </c>
      <c r="G30" s="19" t="s">
        <v>34</v>
      </c>
      <c r="H30" s="20"/>
      <c r="I30" s="19"/>
      <c r="J30" s="19"/>
      <c r="K30" s="19"/>
      <c r="L30" s="1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10">
        <v>103</v>
      </c>
      <c r="B31" s="10" t="s">
        <v>519</v>
      </c>
      <c r="C31" s="10" t="s">
        <v>141</v>
      </c>
      <c r="D31" s="10" t="s">
        <v>204</v>
      </c>
      <c r="E31" s="10" t="s">
        <v>183</v>
      </c>
      <c r="F31" s="10" t="s">
        <v>535</v>
      </c>
      <c r="G31" s="19" t="s">
        <v>43</v>
      </c>
      <c r="H31" s="20"/>
      <c r="I31" s="19"/>
      <c r="J31" s="19"/>
      <c r="K31" s="19"/>
      <c r="L31" s="19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10">
        <v>106</v>
      </c>
      <c r="B32" s="10" t="s">
        <v>519</v>
      </c>
      <c r="C32" s="10" t="s">
        <v>141</v>
      </c>
      <c r="D32" s="10" t="s">
        <v>177</v>
      </c>
      <c r="E32" s="10" t="s">
        <v>183</v>
      </c>
      <c r="F32" s="10" t="s">
        <v>543</v>
      </c>
      <c r="G32" s="19" t="s">
        <v>52</v>
      </c>
      <c r="H32" s="20"/>
      <c r="I32" s="19"/>
      <c r="J32" s="19"/>
      <c r="K32" s="19"/>
      <c r="L32" s="1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79" t="s">
        <v>550</v>
      </c>
      <c r="B33" s="80"/>
      <c r="C33" s="80"/>
      <c r="D33" s="80"/>
      <c r="E33" s="80"/>
      <c r="F33" s="80"/>
      <c r="G33" s="81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10">
        <v>405</v>
      </c>
      <c r="B34" s="10" t="s">
        <v>22</v>
      </c>
      <c r="C34" s="10" t="s">
        <v>23</v>
      </c>
      <c r="D34" s="10" t="s">
        <v>25</v>
      </c>
      <c r="E34" s="10" t="s">
        <v>26</v>
      </c>
      <c r="F34" s="10" t="s">
        <v>32</v>
      </c>
      <c r="G34" s="19" t="s">
        <v>34</v>
      </c>
      <c r="H34" s="22" t="s">
        <v>564</v>
      </c>
      <c r="I34" s="19" t="s">
        <v>129</v>
      </c>
      <c r="J34" s="12" t="s">
        <v>570</v>
      </c>
      <c r="K34" s="19"/>
      <c r="L34" s="12" t="s">
        <v>572</v>
      </c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10">
        <v>409</v>
      </c>
      <c r="B35" s="10" t="s">
        <v>22</v>
      </c>
      <c r="C35" s="10" t="s">
        <v>23</v>
      </c>
      <c r="D35" s="10" t="s">
        <v>35</v>
      </c>
      <c r="E35" s="10" t="s">
        <v>36</v>
      </c>
      <c r="F35" s="10" t="s">
        <v>42</v>
      </c>
      <c r="G35" s="19" t="s">
        <v>43</v>
      </c>
      <c r="H35" s="22" t="s">
        <v>564</v>
      </c>
      <c r="I35" s="19"/>
      <c r="J35" s="12" t="s">
        <v>585</v>
      </c>
      <c r="K35" s="19"/>
      <c r="L35" s="12" t="s">
        <v>586</v>
      </c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10">
        <v>407</v>
      </c>
      <c r="B36" s="10" t="s">
        <v>22</v>
      </c>
      <c r="C36" s="10" t="s">
        <v>23</v>
      </c>
      <c r="D36" s="10" t="s">
        <v>44</v>
      </c>
      <c r="E36" s="10" t="s">
        <v>45</v>
      </c>
      <c r="F36" s="10" t="s">
        <v>51</v>
      </c>
      <c r="G36" s="19" t="s">
        <v>52</v>
      </c>
      <c r="H36" s="22" t="s">
        <v>564</v>
      </c>
      <c r="I36" s="19"/>
      <c r="J36" s="12" t="s">
        <v>595</v>
      </c>
      <c r="K36" s="19"/>
      <c r="L36" s="12" t="s">
        <v>596</v>
      </c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79" t="s">
        <v>600</v>
      </c>
      <c r="B37" s="80"/>
      <c r="C37" s="80"/>
      <c r="D37" s="80"/>
      <c r="E37" s="80"/>
      <c r="F37" s="80"/>
      <c r="G37" s="81"/>
      <c r="H37" s="10"/>
      <c r="I37" s="10"/>
      <c r="J37" s="10"/>
      <c r="K37" s="10"/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10">
        <v>448</v>
      </c>
      <c r="B38" s="10" t="s">
        <v>22</v>
      </c>
      <c r="C38" s="10" t="s">
        <v>141</v>
      </c>
      <c r="D38" s="10" t="s">
        <v>143</v>
      </c>
      <c r="E38" s="10" t="s">
        <v>45</v>
      </c>
      <c r="F38" s="10" t="s">
        <v>152</v>
      </c>
      <c r="G38" s="19" t="s">
        <v>34</v>
      </c>
      <c r="H38" s="22" t="s">
        <v>564</v>
      </c>
      <c r="I38" s="19" t="s">
        <v>129</v>
      </c>
      <c r="J38" s="12" t="s">
        <v>623</v>
      </c>
      <c r="K38" s="19"/>
      <c r="L38" s="23">
        <v>40151</v>
      </c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10">
        <v>437</v>
      </c>
      <c r="B39" s="10" t="s">
        <v>22</v>
      </c>
      <c r="C39" s="10" t="s">
        <v>141</v>
      </c>
      <c r="D39" s="10" t="s">
        <v>154</v>
      </c>
      <c r="E39" s="10" t="s">
        <v>155</v>
      </c>
      <c r="F39" s="10" t="s">
        <v>161</v>
      </c>
      <c r="G39" s="19" t="s">
        <v>43</v>
      </c>
      <c r="H39" s="22" t="s">
        <v>564</v>
      </c>
      <c r="I39" s="19"/>
      <c r="J39" s="12" t="s">
        <v>635</v>
      </c>
      <c r="K39" s="19"/>
      <c r="L39" s="24">
        <v>39846</v>
      </c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10">
        <v>430</v>
      </c>
      <c r="B40" s="10" t="s">
        <v>22</v>
      </c>
      <c r="C40" s="10" t="s">
        <v>141</v>
      </c>
      <c r="D40" s="10" t="s">
        <v>162</v>
      </c>
      <c r="E40" s="10" t="s">
        <v>45</v>
      </c>
      <c r="F40" s="10" t="s">
        <v>171</v>
      </c>
      <c r="G40" s="19" t="s">
        <v>52</v>
      </c>
      <c r="H40" s="22" t="s">
        <v>564</v>
      </c>
      <c r="I40" s="19"/>
      <c r="J40" s="12" t="s">
        <v>649</v>
      </c>
      <c r="K40" s="19"/>
      <c r="L40" s="24">
        <v>40179</v>
      </c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79" t="s">
        <v>653</v>
      </c>
      <c r="B41" s="80"/>
      <c r="C41" s="80"/>
      <c r="D41" s="80"/>
      <c r="E41" s="80"/>
      <c r="F41" s="80"/>
      <c r="G41" s="81"/>
      <c r="H41" s="17"/>
      <c r="I41" s="10"/>
      <c r="J41" s="10"/>
      <c r="K41" s="10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10">
        <v>313</v>
      </c>
      <c r="B42" s="10" t="s">
        <v>669</v>
      </c>
      <c r="C42" s="10" t="s">
        <v>23</v>
      </c>
      <c r="D42" s="10" t="s">
        <v>670</v>
      </c>
      <c r="E42" s="10" t="s">
        <v>36</v>
      </c>
      <c r="F42" s="10" t="s">
        <v>672</v>
      </c>
      <c r="G42" s="19" t="s">
        <v>34</v>
      </c>
      <c r="H42" s="20"/>
      <c r="I42" s="19" t="s">
        <v>129</v>
      </c>
      <c r="J42" s="19"/>
      <c r="K42" s="19"/>
      <c r="L42" s="1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10">
        <v>307</v>
      </c>
      <c r="B43" s="10" t="s">
        <v>669</v>
      </c>
      <c r="C43" s="10" t="s">
        <v>23</v>
      </c>
      <c r="D43" s="10" t="s">
        <v>681</v>
      </c>
      <c r="E43" s="10" t="s">
        <v>36</v>
      </c>
      <c r="F43" s="10" t="s">
        <v>684</v>
      </c>
      <c r="G43" s="19" t="s">
        <v>43</v>
      </c>
      <c r="H43" s="20"/>
      <c r="I43" s="19"/>
      <c r="J43" s="19"/>
      <c r="K43" s="19"/>
      <c r="L43" s="1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10">
        <v>304</v>
      </c>
      <c r="B44" s="10" t="s">
        <v>669</v>
      </c>
      <c r="C44" s="10" t="s">
        <v>23</v>
      </c>
      <c r="D44" s="10" t="s">
        <v>690</v>
      </c>
      <c r="E44" s="10" t="s">
        <v>257</v>
      </c>
      <c r="F44" s="10" t="s">
        <v>692</v>
      </c>
      <c r="G44" s="19" t="s">
        <v>52</v>
      </c>
      <c r="H44" s="20"/>
      <c r="I44" s="19"/>
      <c r="J44" s="19"/>
      <c r="K44" s="19"/>
      <c r="L44" s="1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79" t="s">
        <v>699</v>
      </c>
      <c r="B45" s="80"/>
      <c r="C45" s="80"/>
      <c r="D45" s="80"/>
      <c r="E45" s="80"/>
      <c r="F45" s="80"/>
      <c r="G45" s="81"/>
      <c r="H45" s="17"/>
      <c r="I45" s="10"/>
      <c r="J45" s="10"/>
      <c r="K45" s="10"/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10">
        <v>337</v>
      </c>
      <c r="B46" s="10" t="s">
        <v>669</v>
      </c>
      <c r="C46" s="10" t="s">
        <v>141</v>
      </c>
      <c r="D46" s="10" t="s">
        <v>715</v>
      </c>
      <c r="E46" s="10" t="s">
        <v>45</v>
      </c>
      <c r="F46" s="10" t="s">
        <v>717</v>
      </c>
      <c r="G46" s="19" t="s">
        <v>34</v>
      </c>
      <c r="H46" s="20"/>
      <c r="I46" s="19" t="s">
        <v>129</v>
      </c>
      <c r="J46" s="19"/>
      <c r="K46" s="19"/>
      <c r="L46" s="1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10">
        <v>352</v>
      </c>
      <c r="B47" s="10" t="s">
        <v>669</v>
      </c>
      <c r="C47" s="10" t="s">
        <v>141</v>
      </c>
      <c r="D47" s="10" t="s">
        <v>725</v>
      </c>
      <c r="E47" s="10" t="s">
        <v>36</v>
      </c>
      <c r="F47" s="10" t="s">
        <v>726</v>
      </c>
      <c r="G47" s="19" t="s">
        <v>43</v>
      </c>
      <c r="H47" s="20"/>
      <c r="I47" s="19"/>
      <c r="J47" s="19"/>
      <c r="K47" s="19"/>
      <c r="L47" s="1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10">
        <v>336</v>
      </c>
      <c r="B48" s="10" t="s">
        <v>669</v>
      </c>
      <c r="C48" s="10" t="s">
        <v>141</v>
      </c>
      <c r="D48" s="10" t="s">
        <v>736</v>
      </c>
      <c r="E48" s="10" t="s">
        <v>36</v>
      </c>
      <c r="F48" s="10" t="s">
        <v>737</v>
      </c>
      <c r="G48" s="19" t="s">
        <v>52</v>
      </c>
      <c r="H48" s="20"/>
      <c r="I48" s="19"/>
      <c r="J48" s="19"/>
      <c r="K48" s="19"/>
      <c r="L48" s="1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79" t="s">
        <v>745</v>
      </c>
      <c r="B49" s="80"/>
      <c r="C49" s="80"/>
      <c r="D49" s="80"/>
      <c r="E49" s="80"/>
      <c r="F49" s="80"/>
      <c r="G49" s="81"/>
      <c r="H49" s="10"/>
      <c r="I49" s="10"/>
      <c r="J49" s="10"/>
      <c r="K49" s="10"/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10">
        <v>701</v>
      </c>
      <c r="B50" s="10" t="s">
        <v>759</v>
      </c>
      <c r="C50" s="10" t="s">
        <v>23</v>
      </c>
      <c r="D50" s="10" t="s">
        <v>44</v>
      </c>
      <c r="E50" s="10" t="s">
        <v>45</v>
      </c>
      <c r="F50" s="10" t="s">
        <v>765</v>
      </c>
      <c r="G50" s="19" t="s">
        <v>34</v>
      </c>
      <c r="H50" s="25" t="s">
        <v>767</v>
      </c>
      <c r="I50" s="19" t="s">
        <v>129</v>
      </c>
      <c r="J50" s="12" t="s">
        <v>595</v>
      </c>
      <c r="K50" s="19"/>
      <c r="L50" s="12" t="s">
        <v>596</v>
      </c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10">
        <v>702</v>
      </c>
      <c r="B51" s="10" t="s">
        <v>759</v>
      </c>
      <c r="C51" s="10" t="s">
        <v>23</v>
      </c>
      <c r="D51" s="10" t="s">
        <v>772</v>
      </c>
      <c r="E51" s="10" t="s">
        <v>36</v>
      </c>
      <c r="F51" s="10" t="s">
        <v>773</v>
      </c>
      <c r="G51" s="19" t="s">
        <v>43</v>
      </c>
      <c r="H51" s="25" t="s">
        <v>767</v>
      </c>
      <c r="I51" s="19"/>
      <c r="J51" s="12" t="s">
        <v>779</v>
      </c>
      <c r="K51" s="19"/>
      <c r="L51" s="24">
        <v>39149</v>
      </c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10">
        <v>700</v>
      </c>
      <c r="B52" s="10" t="s">
        <v>759</v>
      </c>
      <c r="C52" s="10" t="s">
        <v>23</v>
      </c>
      <c r="D52" s="10" t="s">
        <v>786</v>
      </c>
      <c r="E52" s="10" t="s">
        <v>72</v>
      </c>
      <c r="F52" s="10" t="s">
        <v>789</v>
      </c>
      <c r="G52" s="19" t="s">
        <v>52</v>
      </c>
      <c r="H52" s="25" t="s">
        <v>767</v>
      </c>
      <c r="I52" s="19"/>
      <c r="J52" s="19" t="s">
        <v>790</v>
      </c>
      <c r="K52" s="19"/>
      <c r="L52" s="19" t="s">
        <v>791</v>
      </c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79" t="s">
        <v>795</v>
      </c>
      <c r="B53" s="80"/>
      <c r="C53" s="80"/>
      <c r="D53" s="80"/>
      <c r="E53" s="80"/>
      <c r="F53" s="80"/>
      <c r="G53" s="81"/>
      <c r="H53" s="10"/>
      <c r="I53" s="10"/>
      <c r="J53" s="10"/>
      <c r="K53" s="10"/>
      <c r="L53" s="1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10">
        <v>736</v>
      </c>
      <c r="B54" s="10" t="s">
        <v>759</v>
      </c>
      <c r="C54" s="10" t="s">
        <v>141</v>
      </c>
      <c r="D54" s="10" t="s">
        <v>143</v>
      </c>
      <c r="E54" s="10" t="s">
        <v>45</v>
      </c>
      <c r="F54" s="10" t="s">
        <v>812</v>
      </c>
      <c r="G54" s="19" t="s">
        <v>34</v>
      </c>
      <c r="H54" s="25" t="s">
        <v>767</v>
      </c>
      <c r="I54" s="19" t="s">
        <v>129</v>
      </c>
      <c r="J54" s="12" t="s">
        <v>623</v>
      </c>
      <c r="K54" s="19"/>
      <c r="L54" s="23">
        <v>40151</v>
      </c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10">
        <v>731</v>
      </c>
      <c r="B55" s="10" t="s">
        <v>759</v>
      </c>
      <c r="C55" s="10" t="s">
        <v>141</v>
      </c>
      <c r="D55" s="10" t="s">
        <v>821</v>
      </c>
      <c r="E55" s="10" t="s">
        <v>26</v>
      </c>
      <c r="F55" s="10" t="s">
        <v>823</v>
      </c>
      <c r="G55" s="19" t="s">
        <v>43</v>
      </c>
      <c r="H55" s="19" t="s">
        <v>825</v>
      </c>
      <c r="I55" s="19"/>
      <c r="J55" s="12" t="s">
        <v>570</v>
      </c>
      <c r="K55" s="19"/>
      <c r="L55" s="24">
        <v>39240</v>
      </c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10">
        <v>737</v>
      </c>
      <c r="B56" s="10" t="s">
        <v>759</v>
      </c>
      <c r="C56" s="10" t="s">
        <v>141</v>
      </c>
      <c r="D56" s="10" t="s">
        <v>840</v>
      </c>
      <c r="E56" s="10" t="s">
        <v>36</v>
      </c>
      <c r="F56" s="10" t="s">
        <v>843</v>
      </c>
      <c r="G56" s="19" t="s">
        <v>52</v>
      </c>
      <c r="H56" s="19" t="s">
        <v>825</v>
      </c>
      <c r="I56" s="19"/>
      <c r="J56" s="12" t="s">
        <v>846</v>
      </c>
      <c r="K56" s="19"/>
      <c r="L56" s="24">
        <v>39571</v>
      </c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79" t="s">
        <v>856</v>
      </c>
      <c r="B57" s="80"/>
      <c r="C57" s="80"/>
      <c r="D57" s="80"/>
      <c r="E57" s="80"/>
      <c r="F57" s="80"/>
      <c r="G57" s="81"/>
      <c r="H57" s="10"/>
      <c r="I57" s="10"/>
      <c r="J57" s="10"/>
      <c r="K57" s="10"/>
      <c r="L57" s="1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10">
        <v>704</v>
      </c>
      <c r="B58" s="10" t="s">
        <v>873</v>
      </c>
      <c r="C58" s="10" t="s">
        <v>23</v>
      </c>
      <c r="D58" s="10" t="s">
        <v>875</v>
      </c>
      <c r="E58" s="10" t="s">
        <v>112</v>
      </c>
      <c r="F58" s="10" t="s">
        <v>877</v>
      </c>
      <c r="G58" s="19" t="s">
        <v>34</v>
      </c>
      <c r="H58" s="25" t="s">
        <v>767</v>
      </c>
      <c r="I58" s="19" t="s">
        <v>129</v>
      </c>
      <c r="J58" s="12" t="s">
        <v>883</v>
      </c>
      <c r="K58" s="19"/>
      <c r="L58" s="24">
        <v>37996</v>
      </c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10">
        <v>706</v>
      </c>
      <c r="B59" s="10" t="s">
        <v>873</v>
      </c>
      <c r="C59" s="10" t="s">
        <v>23</v>
      </c>
      <c r="D59" s="10" t="s">
        <v>891</v>
      </c>
      <c r="E59" s="10" t="s">
        <v>36</v>
      </c>
      <c r="F59" s="10" t="s">
        <v>893</v>
      </c>
      <c r="G59" s="19" t="s">
        <v>43</v>
      </c>
      <c r="H59" s="19" t="s">
        <v>825</v>
      </c>
      <c r="I59" s="19"/>
      <c r="J59" s="19" t="s">
        <v>895</v>
      </c>
      <c r="K59" s="19"/>
      <c r="L59" s="26">
        <v>38721</v>
      </c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10">
        <v>504</v>
      </c>
      <c r="B60" s="10" t="s">
        <v>873</v>
      </c>
      <c r="C60" s="10" t="s">
        <v>23</v>
      </c>
      <c r="D60" s="10" t="s">
        <v>906</v>
      </c>
      <c r="E60" s="10" t="s">
        <v>908</v>
      </c>
      <c r="F60" s="10" t="s">
        <v>910</v>
      </c>
      <c r="G60" s="19" t="s">
        <v>52</v>
      </c>
      <c r="H60" s="25" t="s">
        <v>767</v>
      </c>
      <c r="I60" s="19"/>
      <c r="J60" s="19" t="s">
        <v>915</v>
      </c>
      <c r="K60" s="19"/>
      <c r="L60" s="26">
        <v>37966</v>
      </c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79" t="s">
        <v>919</v>
      </c>
      <c r="B61" s="80"/>
      <c r="C61" s="80"/>
      <c r="D61" s="80"/>
      <c r="E61" s="80"/>
      <c r="F61" s="80"/>
      <c r="G61" s="81"/>
      <c r="H61" s="10"/>
      <c r="I61" s="10"/>
      <c r="J61" s="10"/>
      <c r="K61" s="10"/>
      <c r="L61" s="1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10">
        <v>747</v>
      </c>
      <c r="B62" s="10" t="s">
        <v>873</v>
      </c>
      <c r="C62" s="10" t="s">
        <v>141</v>
      </c>
      <c r="D62" s="10" t="s">
        <v>935</v>
      </c>
      <c r="E62" s="10" t="s">
        <v>183</v>
      </c>
      <c r="F62" s="10" t="s">
        <v>937</v>
      </c>
      <c r="G62" s="19" t="s">
        <v>34</v>
      </c>
      <c r="H62" s="25" t="s">
        <v>767</v>
      </c>
      <c r="I62" s="19" t="s">
        <v>129</v>
      </c>
      <c r="J62" s="19" t="s">
        <v>942</v>
      </c>
      <c r="K62" s="19"/>
      <c r="L62" s="19" t="s">
        <v>944</v>
      </c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10">
        <v>745</v>
      </c>
      <c r="B63" s="10" t="s">
        <v>873</v>
      </c>
      <c r="C63" s="10" t="s">
        <v>141</v>
      </c>
      <c r="D63" s="10" t="s">
        <v>951</v>
      </c>
      <c r="E63" s="10" t="s">
        <v>72</v>
      </c>
      <c r="F63" s="10" t="s">
        <v>954</v>
      </c>
      <c r="G63" s="19" t="s">
        <v>43</v>
      </c>
      <c r="H63" s="25" t="s">
        <v>767</v>
      </c>
      <c r="I63" s="19"/>
      <c r="J63" s="19" t="s">
        <v>956</v>
      </c>
      <c r="K63" s="19"/>
      <c r="L63" s="19" t="s">
        <v>957</v>
      </c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10">
        <v>750</v>
      </c>
      <c r="B64" s="10" t="s">
        <v>873</v>
      </c>
      <c r="C64" s="10" t="s">
        <v>141</v>
      </c>
      <c r="D64" s="10" t="s">
        <v>965</v>
      </c>
      <c r="E64" s="10" t="s">
        <v>112</v>
      </c>
      <c r="F64" s="10" t="s">
        <v>968</v>
      </c>
      <c r="G64" s="19" t="s">
        <v>52</v>
      </c>
      <c r="H64" s="25" t="s">
        <v>767</v>
      </c>
      <c r="I64" s="19"/>
      <c r="J64" s="19" t="s">
        <v>969</v>
      </c>
      <c r="K64" s="19"/>
      <c r="L64" s="19" t="s">
        <v>970</v>
      </c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79" t="s">
        <v>975</v>
      </c>
      <c r="B65" s="80"/>
      <c r="C65" s="80"/>
      <c r="D65" s="80"/>
      <c r="E65" s="80"/>
      <c r="F65" s="80"/>
      <c r="G65" s="81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10">
        <v>710</v>
      </c>
      <c r="B66" s="10" t="s">
        <v>989</v>
      </c>
      <c r="C66" s="10" t="s">
        <v>23</v>
      </c>
      <c r="D66" s="10" t="s">
        <v>992</v>
      </c>
      <c r="E66" s="10" t="s">
        <v>112</v>
      </c>
      <c r="F66" s="10" t="s">
        <v>995</v>
      </c>
      <c r="G66" s="19" t="s">
        <v>34</v>
      </c>
      <c r="H66" s="25" t="s">
        <v>767</v>
      </c>
      <c r="I66" s="19" t="s">
        <v>129</v>
      </c>
      <c r="J66" s="12" t="s">
        <v>1001</v>
      </c>
      <c r="K66" s="19"/>
      <c r="L66" s="24">
        <v>36441</v>
      </c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10">
        <v>614</v>
      </c>
      <c r="B67" s="10" t="s">
        <v>989</v>
      </c>
      <c r="C67" s="10" t="s">
        <v>23</v>
      </c>
      <c r="D67" s="10" t="s">
        <v>1010</v>
      </c>
      <c r="E67" s="10" t="s">
        <v>908</v>
      </c>
      <c r="F67" s="10" t="s">
        <v>1013</v>
      </c>
      <c r="G67" s="19" t="s">
        <v>43</v>
      </c>
      <c r="H67" s="25" t="s">
        <v>767</v>
      </c>
      <c r="I67" s="19"/>
      <c r="J67" s="19" t="s">
        <v>1016</v>
      </c>
      <c r="K67" s="19"/>
      <c r="L67" s="27">
        <v>36282</v>
      </c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10">
        <v>709</v>
      </c>
      <c r="B68" s="10" t="s">
        <v>989</v>
      </c>
      <c r="C68" s="10" t="s">
        <v>23</v>
      </c>
      <c r="D68" s="10" t="s">
        <v>1027</v>
      </c>
      <c r="E68" s="10" t="s">
        <v>908</v>
      </c>
      <c r="F68" s="10" t="s">
        <v>1030</v>
      </c>
      <c r="G68" s="19" t="s">
        <v>52</v>
      </c>
      <c r="H68" s="19" t="s">
        <v>825</v>
      </c>
      <c r="I68" s="19"/>
      <c r="J68" s="19" t="s">
        <v>1031</v>
      </c>
      <c r="K68" s="19"/>
      <c r="L68" s="19" t="s">
        <v>1033</v>
      </c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79" t="s">
        <v>1035</v>
      </c>
      <c r="B69" s="80"/>
      <c r="C69" s="80"/>
      <c r="D69" s="80"/>
      <c r="E69" s="80"/>
      <c r="F69" s="80"/>
      <c r="G69" s="81"/>
      <c r="H69" s="10"/>
      <c r="I69" s="10"/>
      <c r="J69" s="10"/>
      <c r="K69" s="10"/>
      <c r="L69" s="1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10">
        <v>759</v>
      </c>
      <c r="B70" s="10" t="s">
        <v>989</v>
      </c>
      <c r="C70" s="10" t="s">
        <v>141</v>
      </c>
      <c r="D70" s="10" t="s">
        <v>1037</v>
      </c>
      <c r="E70" s="10" t="s">
        <v>183</v>
      </c>
      <c r="F70" s="10" t="s">
        <v>1040</v>
      </c>
      <c r="G70" s="19" t="s">
        <v>34</v>
      </c>
      <c r="H70" s="25" t="s">
        <v>767</v>
      </c>
      <c r="I70" s="19" t="s">
        <v>129</v>
      </c>
      <c r="J70" s="12" t="s">
        <v>1045</v>
      </c>
      <c r="K70" s="19"/>
      <c r="L70" s="24">
        <v>36203</v>
      </c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10">
        <v>751</v>
      </c>
      <c r="B71" s="10" t="s">
        <v>989</v>
      </c>
      <c r="C71" s="10" t="s">
        <v>141</v>
      </c>
      <c r="D71" s="10" t="s">
        <v>1048</v>
      </c>
      <c r="E71" s="10" t="s">
        <v>183</v>
      </c>
      <c r="F71" s="10" t="s">
        <v>1052</v>
      </c>
      <c r="G71" s="19" t="s">
        <v>43</v>
      </c>
      <c r="H71" s="28" t="s">
        <v>1054</v>
      </c>
      <c r="I71" s="19"/>
      <c r="J71" s="19" t="s">
        <v>1058</v>
      </c>
      <c r="K71" s="19"/>
      <c r="L71" s="26">
        <v>37045</v>
      </c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10">
        <v>756</v>
      </c>
      <c r="B72" s="10" t="s">
        <v>989</v>
      </c>
      <c r="C72" s="10" t="s">
        <v>141</v>
      </c>
      <c r="D72" s="10" t="s">
        <v>1064</v>
      </c>
      <c r="E72" s="10" t="s">
        <v>301</v>
      </c>
      <c r="F72" s="10" t="s">
        <v>1068</v>
      </c>
      <c r="G72" s="19" t="s">
        <v>52</v>
      </c>
      <c r="H72" s="25" t="s">
        <v>767</v>
      </c>
      <c r="I72" s="19"/>
      <c r="J72" s="19" t="s">
        <v>1071</v>
      </c>
      <c r="K72" s="19"/>
      <c r="L72" s="19" t="s">
        <v>1072</v>
      </c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79" t="s">
        <v>1078</v>
      </c>
      <c r="B73" s="80"/>
      <c r="C73" s="80"/>
      <c r="D73" s="80"/>
      <c r="E73" s="80"/>
      <c r="F73" s="80"/>
      <c r="G73" s="81"/>
      <c r="H73" s="10"/>
      <c r="I73" s="10"/>
      <c r="J73" s="10"/>
      <c r="K73" s="10"/>
      <c r="L73" s="1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10">
        <v>712</v>
      </c>
      <c r="B74" s="10" t="s">
        <v>1093</v>
      </c>
      <c r="C74" s="10" t="s">
        <v>23</v>
      </c>
      <c r="D74" s="10" t="s">
        <v>1094</v>
      </c>
      <c r="E74" s="10" t="s">
        <v>36</v>
      </c>
      <c r="F74" s="10" t="s">
        <v>1096</v>
      </c>
      <c r="G74" s="19" t="s">
        <v>34</v>
      </c>
      <c r="H74" s="25" t="s">
        <v>767</v>
      </c>
      <c r="I74" s="19" t="s">
        <v>129</v>
      </c>
      <c r="J74" s="12" t="s">
        <v>1101</v>
      </c>
      <c r="K74" s="19"/>
      <c r="L74" s="24">
        <v>34247</v>
      </c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79" t="s">
        <v>1109</v>
      </c>
      <c r="B75" s="80"/>
      <c r="C75" s="80"/>
      <c r="D75" s="80"/>
      <c r="E75" s="80"/>
      <c r="F75" s="80"/>
      <c r="G75" s="81"/>
      <c r="H75" s="10"/>
      <c r="I75" s="10"/>
      <c r="J75" s="10"/>
      <c r="K75" s="10"/>
      <c r="L75" s="1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10">
        <v>761</v>
      </c>
      <c r="B76" s="10" t="s">
        <v>1093</v>
      </c>
      <c r="C76" s="10" t="s">
        <v>141</v>
      </c>
      <c r="D76" s="10" t="s">
        <v>1126</v>
      </c>
      <c r="E76" s="10" t="s">
        <v>45</v>
      </c>
      <c r="F76" s="10" t="s">
        <v>1131</v>
      </c>
      <c r="G76" s="19" t="s">
        <v>34</v>
      </c>
      <c r="H76" s="19" t="s">
        <v>825</v>
      </c>
      <c r="I76" s="19" t="s">
        <v>129</v>
      </c>
      <c r="J76" s="12" t="s">
        <v>1134</v>
      </c>
      <c r="K76" s="19"/>
      <c r="L76" s="24">
        <v>33726</v>
      </c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10">
        <v>763</v>
      </c>
      <c r="B77" s="10" t="s">
        <v>1093</v>
      </c>
      <c r="C77" s="10" t="s">
        <v>141</v>
      </c>
      <c r="D77" s="10" t="s">
        <v>1144</v>
      </c>
      <c r="E77" s="10" t="s">
        <v>301</v>
      </c>
      <c r="F77" s="10" t="s">
        <v>1145</v>
      </c>
      <c r="G77" s="19" t="s">
        <v>43</v>
      </c>
      <c r="H77" s="25" t="s">
        <v>767</v>
      </c>
      <c r="I77" s="19"/>
      <c r="J77" s="12" t="s">
        <v>1146</v>
      </c>
      <c r="K77" s="19"/>
      <c r="L77" s="24">
        <v>35409</v>
      </c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10">
        <v>762</v>
      </c>
      <c r="B78" s="10" t="s">
        <v>1093</v>
      </c>
      <c r="C78" s="10" t="s">
        <v>141</v>
      </c>
      <c r="D78" s="10" t="s">
        <v>1150</v>
      </c>
      <c r="E78" s="10" t="s">
        <v>36</v>
      </c>
      <c r="F78" s="10" t="s">
        <v>1151</v>
      </c>
      <c r="G78" s="19" t="s">
        <v>52</v>
      </c>
      <c r="H78" s="19" t="s">
        <v>825</v>
      </c>
      <c r="I78" s="19"/>
      <c r="J78" s="12" t="s">
        <v>1158</v>
      </c>
      <c r="K78" s="19"/>
      <c r="L78" s="12" t="s">
        <v>1159</v>
      </c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79" t="s">
        <v>1167</v>
      </c>
      <c r="B79" s="80"/>
      <c r="C79" s="80"/>
      <c r="D79" s="80"/>
      <c r="E79" s="80"/>
      <c r="F79" s="80"/>
      <c r="G79" s="81"/>
      <c r="H79" s="10"/>
      <c r="I79" s="10"/>
      <c r="J79" s="10"/>
      <c r="K79" s="10"/>
      <c r="L79" s="1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10">
        <v>714</v>
      </c>
      <c r="B80" s="10" t="s">
        <v>1183</v>
      </c>
      <c r="C80" s="10" t="s">
        <v>23</v>
      </c>
      <c r="D80" s="10" t="s">
        <v>1187</v>
      </c>
      <c r="E80" s="10" t="s">
        <v>908</v>
      </c>
      <c r="F80" s="10" t="s">
        <v>1191</v>
      </c>
      <c r="G80" s="19" t="s">
        <v>34</v>
      </c>
      <c r="H80" s="25" t="s">
        <v>767</v>
      </c>
      <c r="I80" s="19" t="s">
        <v>129</v>
      </c>
      <c r="J80" s="12" t="s">
        <v>1192</v>
      </c>
      <c r="K80" s="19"/>
      <c r="L80" s="24">
        <v>31992</v>
      </c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79" t="s">
        <v>1198</v>
      </c>
      <c r="B81" s="80"/>
      <c r="C81" s="80"/>
      <c r="D81" s="80"/>
      <c r="E81" s="80"/>
      <c r="F81" s="80"/>
      <c r="G81" s="81"/>
      <c r="H81" s="10"/>
      <c r="I81" s="10"/>
      <c r="J81" s="10"/>
      <c r="K81" s="10"/>
      <c r="L81" s="1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10">
        <v>769</v>
      </c>
      <c r="B82" s="10" t="s">
        <v>1183</v>
      </c>
      <c r="C82" s="10" t="s">
        <v>141</v>
      </c>
      <c r="D82" s="10" t="s">
        <v>1215</v>
      </c>
      <c r="E82" s="10" t="s">
        <v>45</v>
      </c>
      <c r="F82" s="10" t="s">
        <v>1216</v>
      </c>
      <c r="G82" s="19" t="s">
        <v>34</v>
      </c>
      <c r="H82" s="25" t="s">
        <v>767</v>
      </c>
      <c r="I82" s="19" t="s">
        <v>129</v>
      </c>
      <c r="J82" s="12" t="s">
        <v>1221</v>
      </c>
      <c r="K82" s="19"/>
      <c r="L82" s="24">
        <v>32877</v>
      </c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10">
        <v>768</v>
      </c>
      <c r="B83" s="10" t="s">
        <v>1183</v>
      </c>
      <c r="C83" s="10" t="s">
        <v>141</v>
      </c>
      <c r="D83" s="10" t="s">
        <v>1231</v>
      </c>
      <c r="E83" s="10" t="s">
        <v>845</v>
      </c>
      <c r="F83" s="10" t="s">
        <v>1232</v>
      </c>
      <c r="G83" s="19" t="s">
        <v>43</v>
      </c>
      <c r="H83" s="25" t="s">
        <v>767</v>
      </c>
      <c r="I83" s="19"/>
      <c r="J83" s="12" t="s">
        <v>1234</v>
      </c>
      <c r="K83" s="19"/>
      <c r="L83" s="12" t="s">
        <v>1236</v>
      </c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10">
        <v>767</v>
      </c>
      <c r="B84" s="10" t="s">
        <v>1183</v>
      </c>
      <c r="C84" s="10" t="s">
        <v>141</v>
      </c>
      <c r="D84" s="10" t="s">
        <v>1243</v>
      </c>
      <c r="E84" s="10" t="s">
        <v>36</v>
      </c>
      <c r="F84" s="10" t="s">
        <v>1246</v>
      </c>
      <c r="G84" s="19" t="s">
        <v>52</v>
      </c>
      <c r="H84" s="19" t="s">
        <v>825</v>
      </c>
      <c r="I84" s="19"/>
      <c r="J84" s="12" t="s">
        <v>1250</v>
      </c>
      <c r="K84" s="19"/>
      <c r="L84" s="12" t="s">
        <v>1252</v>
      </c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79" t="s">
        <v>1256</v>
      </c>
      <c r="B85" s="80"/>
      <c r="C85" s="80"/>
      <c r="D85" s="80"/>
      <c r="E85" s="80"/>
      <c r="F85" s="80"/>
      <c r="G85" s="81"/>
      <c r="H85" s="10"/>
      <c r="I85" s="10"/>
      <c r="J85" s="10"/>
      <c r="K85" s="10"/>
      <c r="L85" s="1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10">
        <v>780</v>
      </c>
      <c r="B86" s="10" t="s">
        <v>1276</v>
      </c>
      <c r="C86" s="10" t="s">
        <v>141</v>
      </c>
      <c r="D86" s="10" t="s">
        <v>1277</v>
      </c>
      <c r="E86" s="10" t="s">
        <v>45</v>
      </c>
      <c r="F86" s="10" t="s">
        <v>1278</v>
      </c>
      <c r="G86" s="19" t="s">
        <v>34</v>
      </c>
      <c r="H86" s="25" t="s">
        <v>767</v>
      </c>
      <c r="I86" s="19" t="s">
        <v>129</v>
      </c>
      <c r="J86" s="12" t="s">
        <v>1283</v>
      </c>
      <c r="K86" s="19"/>
      <c r="L86" s="24">
        <v>29954</v>
      </c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10">
        <v>779</v>
      </c>
      <c r="B87" s="10" t="s">
        <v>1276</v>
      </c>
      <c r="C87" s="10" t="s">
        <v>141</v>
      </c>
      <c r="D87" s="10" t="s">
        <v>1292</v>
      </c>
      <c r="E87" s="10" t="s">
        <v>908</v>
      </c>
      <c r="F87" s="10" t="s">
        <v>1294</v>
      </c>
      <c r="G87" s="19" t="s">
        <v>43</v>
      </c>
      <c r="H87" s="25" t="s">
        <v>767</v>
      </c>
      <c r="I87" s="19"/>
      <c r="J87" s="12" t="s">
        <v>1295</v>
      </c>
      <c r="K87" s="19"/>
      <c r="L87" s="12" t="s">
        <v>1296</v>
      </c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10">
        <v>776</v>
      </c>
      <c r="B88" s="10" t="s">
        <v>1276</v>
      </c>
      <c r="C88" s="10" t="s">
        <v>141</v>
      </c>
      <c r="D88" s="10" t="s">
        <v>1304</v>
      </c>
      <c r="E88" s="10" t="s">
        <v>194</v>
      </c>
      <c r="F88" s="10" t="s">
        <v>1308</v>
      </c>
      <c r="G88" s="19" t="s">
        <v>52</v>
      </c>
      <c r="H88" s="25" t="s">
        <v>767</v>
      </c>
      <c r="I88" s="19"/>
      <c r="J88" s="12" t="s">
        <v>1312</v>
      </c>
      <c r="K88" s="19"/>
      <c r="L88" s="24">
        <v>31601</v>
      </c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79" t="s">
        <v>1319</v>
      </c>
      <c r="B89" s="80"/>
      <c r="C89" s="80"/>
      <c r="D89" s="80"/>
      <c r="E89" s="80"/>
      <c r="F89" s="80"/>
      <c r="G89" s="81"/>
      <c r="H89" s="10"/>
      <c r="I89" s="10"/>
      <c r="J89" s="10"/>
      <c r="K89" s="10"/>
      <c r="L89" s="1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10">
        <v>784</v>
      </c>
      <c r="B90" s="10" t="s">
        <v>1333</v>
      </c>
      <c r="C90" s="10" t="s">
        <v>141</v>
      </c>
      <c r="D90" s="10" t="s">
        <v>1334</v>
      </c>
      <c r="E90" s="10" t="s">
        <v>36</v>
      </c>
      <c r="F90" s="10" t="s">
        <v>1335</v>
      </c>
      <c r="G90" s="19" t="s">
        <v>34</v>
      </c>
      <c r="H90" s="19" t="s">
        <v>825</v>
      </c>
      <c r="I90" s="19" t="s">
        <v>129</v>
      </c>
      <c r="J90" s="12" t="s">
        <v>1338</v>
      </c>
      <c r="K90" s="19"/>
      <c r="L90" s="24">
        <v>29805</v>
      </c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10">
        <v>783</v>
      </c>
      <c r="B91" s="10" t="s">
        <v>1333</v>
      </c>
      <c r="C91" s="10" t="s">
        <v>141</v>
      </c>
      <c r="D91" s="10" t="s">
        <v>1344</v>
      </c>
      <c r="E91" s="10" t="s">
        <v>72</v>
      </c>
      <c r="F91" s="10" t="s">
        <v>1345</v>
      </c>
      <c r="G91" s="19" t="s">
        <v>43</v>
      </c>
      <c r="H91" s="25" t="s">
        <v>767</v>
      </c>
      <c r="I91" s="19"/>
      <c r="J91" s="12" t="s">
        <v>1346</v>
      </c>
      <c r="K91" s="19"/>
      <c r="L91" s="24">
        <v>29685</v>
      </c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10">
        <v>785</v>
      </c>
      <c r="B92" s="10" t="s">
        <v>1333</v>
      </c>
      <c r="C92" s="10" t="s">
        <v>141</v>
      </c>
      <c r="D92" s="10" t="s">
        <v>1355</v>
      </c>
      <c r="E92" s="10" t="s">
        <v>624</v>
      </c>
      <c r="F92" s="10" t="s">
        <v>1357</v>
      </c>
      <c r="G92" s="19" t="s">
        <v>52</v>
      </c>
      <c r="H92" s="25" t="s">
        <v>767</v>
      </c>
      <c r="I92" s="19"/>
      <c r="J92" s="12" t="s">
        <v>1363</v>
      </c>
      <c r="K92" s="19"/>
      <c r="L92" s="24">
        <v>28524</v>
      </c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79" t="s">
        <v>1366</v>
      </c>
      <c r="B93" s="80"/>
      <c r="C93" s="80"/>
      <c r="D93" s="80"/>
      <c r="E93" s="80"/>
      <c r="F93" s="80"/>
      <c r="G93" s="81"/>
      <c r="H93" s="10"/>
      <c r="I93" s="10"/>
      <c r="J93" s="10"/>
      <c r="K93" s="10"/>
      <c r="L93" s="1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10">
        <v>789</v>
      </c>
      <c r="B94" s="10" t="s">
        <v>1380</v>
      </c>
      <c r="C94" s="10" t="s">
        <v>141</v>
      </c>
      <c r="D94" s="10" t="s">
        <v>1382</v>
      </c>
      <c r="E94" s="10" t="s">
        <v>194</v>
      </c>
      <c r="F94" s="10" t="s">
        <v>1385</v>
      </c>
      <c r="G94" s="19" t="s">
        <v>34</v>
      </c>
      <c r="H94" s="19" t="s">
        <v>825</v>
      </c>
      <c r="I94" s="19"/>
      <c r="J94" s="12" t="s">
        <v>1389</v>
      </c>
      <c r="K94" s="19"/>
      <c r="L94" s="24">
        <v>26947</v>
      </c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10">
        <v>788</v>
      </c>
      <c r="B95" s="10" t="s">
        <v>1380</v>
      </c>
      <c r="C95" s="10" t="s">
        <v>141</v>
      </c>
      <c r="D95" s="10" t="s">
        <v>1399</v>
      </c>
      <c r="E95" s="10" t="s">
        <v>36</v>
      </c>
      <c r="F95" s="10" t="s">
        <v>1400</v>
      </c>
      <c r="G95" s="19" t="s">
        <v>43</v>
      </c>
      <c r="H95" s="25" t="s">
        <v>767</v>
      </c>
      <c r="I95" s="19"/>
      <c r="J95" s="12" t="s">
        <v>1403</v>
      </c>
      <c r="K95" s="19"/>
      <c r="L95" s="12" t="s">
        <v>1406</v>
      </c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79" t="s">
        <v>1410</v>
      </c>
      <c r="B96" s="80"/>
      <c r="C96" s="80"/>
      <c r="D96" s="80"/>
      <c r="E96" s="80"/>
      <c r="F96" s="80"/>
      <c r="G96" s="81"/>
      <c r="H96" s="10"/>
      <c r="I96" s="10"/>
      <c r="J96" s="10"/>
      <c r="K96" s="10"/>
      <c r="L96" s="1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10">
        <v>790</v>
      </c>
      <c r="B97" s="10" t="s">
        <v>1425</v>
      </c>
      <c r="C97" s="10" t="s">
        <v>141</v>
      </c>
      <c r="D97" s="10" t="s">
        <v>1428</v>
      </c>
      <c r="E97" s="10" t="s">
        <v>908</v>
      </c>
      <c r="F97" s="10" t="s">
        <v>1429</v>
      </c>
      <c r="G97" s="19" t="s">
        <v>34</v>
      </c>
      <c r="H97" s="25" t="s">
        <v>767</v>
      </c>
      <c r="I97" s="19"/>
      <c r="J97" s="12" t="s">
        <v>1434</v>
      </c>
      <c r="K97" s="19"/>
      <c r="L97" s="24">
        <v>25936</v>
      </c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10">
        <v>792</v>
      </c>
      <c r="B98" s="10" t="s">
        <v>1425</v>
      </c>
      <c r="C98" s="10" t="s">
        <v>141</v>
      </c>
      <c r="D98" s="10" t="s">
        <v>1442</v>
      </c>
      <c r="E98" s="10" t="s">
        <v>36</v>
      </c>
      <c r="F98" s="10" t="s">
        <v>1443</v>
      </c>
      <c r="G98" s="19" t="s">
        <v>43</v>
      </c>
      <c r="H98" s="19" t="s">
        <v>825</v>
      </c>
      <c r="I98" s="19"/>
      <c r="J98" s="12" t="s">
        <v>1445</v>
      </c>
      <c r="K98" s="19"/>
      <c r="L98" s="24">
        <v>24843</v>
      </c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79" t="s">
        <v>1453</v>
      </c>
      <c r="B99" s="80"/>
      <c r="C99" s="80"/>
      <c r="D99" s="80"/>
      <c r="E99" s="80"/>
      <c r="F99" s="80"/>
      <c r="G99" s="81"/>
      <c r="H99" s="10"/>
      <c r="I99" s="10"/>
      <c r="J99" s="10"/>
      <c r="K99" s="10"/>
      <c r="L99" s="1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10">
        <v>793</v>
      </c>
      <c r="B100" s="10" t="s">
        <v>1464</v>
      </c>
      <c r="C100" s="10" t="s">
        <v>141</v>
      </c>
      <c r="D100" s="10" t="s">
        <v>1468</v>
      </c>
      <c r="E100" s="10" t="s">
        <v>36</v>
      </c>
      <c r="F100" s="10" t="s">
        <v>1473</v>
      </c>
      <c r="G100" s="19" t="s">
        <v>34</v>
      </c>
      <c r="H100" s="19" t="s">
        <v>825</v>
      </c>
      <c r="I100" s="19"/>
      <c r="J100" s="30" t="s">
        <v>1474</v>
      </c>
      <c r="K100" s="19"/>
      <c r="L100" s="12" t="s">
        <v>1504</v>
      </c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79" t="s">
        <v>1511</v>
      </c>
      <c r="B101" s="80"/>
      <c r="C101" s="80"/>
      <c r="D101" s="80"/>
      <c r="E101" s="80"/>
      <c r="F101" s="80"/>
      <c r="G101" s="81"/>
      <c r="H101" s="10"/>
      <c r="I101" s="10"/>
      <c r="J101" s="31"/>
      <c r="K101" s="10"/>
      <c r="L101" s="1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10">
        <v>604</v>
      </c>
      <c r="B102" s="10" t="s">
        <v>1543</v>
      </c>
      <c r="C102" s="10" t="s">
        <v>23</v>
      </c>
      <c r="D102" s="10" t="s">
        <v>1548</v>
      </c>
      <c r="E102" s="10" t="s">
        <v>155</v>
      </c>
      <c r="F102" s="10" t="s">
        <v>1555</v>
      </c>
      <c r="G102" s="19" t="s">
        <v>34</v>
      </c>
      <c r="H102" s="32" t="s">
        <v>1564</v>
      </c>
      <c r="I102" s="19" t="s">
        <v>129</v>
      </c>
      <c r="J102" s="12" t="s">
        <v>1574</v>
      </c>
      <c r="K102" s="19"/>
      <c r="L102" s="12" t="s">
        <v>1576</v>
      </c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10">
        <v>602</v>
      </c>
      <c r="B103" s="10" t="s">
        <v>1543</v>
      </c>
      <c r="C103" s="10" t="s">
        <v>23</v>
      </c>
      <c r="D103" s="10" t="s">
        <v>1592</v>
      </c>
      <c r="E103" s="10" t="s">
        <v>36</v>
      </c>
      <c r="F103" s="10" t="s">
        <v>1593</v>
      </c>
      <c r="G103" s="19" t="s">
        <v>43</v>
      </c>
      <c r="H103" s="32" t="s">
        <v>1564</v>
      </c>
      <c r="I103" s="19"/>
      <c r="J103" s="12" t="s">
        <v>1597</v>
      </c>
      <c r="K103" s="19"/>
      <c r="L103" s="12" t="s">
        <v>1600</v>
      </c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10">
        <v>605</v>
      </c>
      <c r="B104" s="10" t="s">
        <v>1543</v>
      </c>
      <c r="C104" s="10" t="s">
        <v>23</v>
      </c>
      <c r="D104" s="10" t="s">
        <v>1611</v>
      </c>
      <c r="E104" s="10" t="s">
        <v>36</v>
      </c>
      <c r="F104" s="10" t="s">
        <v>1614</v>
      </c>
      <c r="G104" s="19" t="s">
        <v>52</v>
      </c>
      <c r="H104" s="32" t="s">
        <v>1564</v>
      </c>
      <c r="I104" s="19"/>
      <c r="J104" s="12" t="s">
        <v>1617</v>
      </c>
      <c r="K104" s="19"/>
      <c r="L104" s="12" t="s">
        <v>1619</v>
      </c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79" t="s">
        <v>1629</v>
      </c>
      <c r="B105" s="80"/>
      <c r="C105" s="80"/>
      <c r="D105" s="80"/>
      <c r="E105" s="80"/>
      <c r="F105" s="80"/>
      <c r="G105" s="81"/>
      <c r="H105" s="10"/>
      <c r="I105" s="10"/>
      <c r="J105" s="10"/>
      <c r="K105" s="10"/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10">
        <v>631</v>
      </c>
      <c r="B106" s="10" t="s">
        <v>1543</v>
      </c>
      <c r="C106" s="10" t="s">
        <v>141</v>
      </c>
      <c r="D106" s="10" t="s">
        <v>1646</v>
      </c>
      <c r="E106" s="10" t="s">
        <v>72</v>
      </c>
      <c r="F106" s="10" t="s">
        <v>1647</v>
      </c>
      <c r="G106" s="19" t="s">
        <v>34</v>
      </c>
      <c r="H106" s="32" t="s">
        <v>1564</v>
      </c>
      <c r="I106" s="19" t="s">
        <v>129</v>
      </c>
      <c r="J106" s="39" t="s">
        <v>1653</v>
      </c>
      <c r="K106" s="19"/>
      <c r="L106" s="12" t="s">
        <v>1656</v>
      </c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10">
        <v>617</v>
      </c>
      <c r="B107" s="10" t="s">
        <v>1543</v>
      </c>
      <c r="C107" s="10" t="s">
        <v>141</v>
      </c>
      <c r="D107" s="10" t="s">
        <v>1663</v>
      </c>
      <c r="E107" s="10" t="s">
        <v>183</v>
      </c>
      <c r="F107" s="10" t="s">
        <v>1667</v>
      </c>
      <c r="G107" s="19" t="s">
        <v>43</v>
      </c>
      <c r="H107" s="32" t="s">
        <v>1564</v>
      </c>
      <c r="I107" s="19"/>
      <c r="J107" s="12" t="s">
        <v>1672</v>
      </c>
      <c r="K107" s="19"/>
      <c r="L107" s="24">
        <v>35988</v>
      </c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10">
        <v>642</v>
      </c>
      <c r="B108" s="10" t="s">
        <v>1543</v>
      </c>
      <c r="C108" s="10" t="s">
        <v>141</v>
      </c>
      <c r="D108" s="10" t="s">
        <v>1680</v>
      </c>
      <c r="E108" s="10" t="s">
        <v>45</v>
      </c>
      <c r="F108" s="10" t="s">
        <v>1681</v>
      </c>
      <c r="G108" s="19" t="s">
        <v>52</v>
      </c>
      <c r="H108" s="32" t="s">
        <v>1564</v>
      </c>
      <c r="I108" s="19"/>
      <c r="J108" s="12" t="s">
        <v>1682</v>
      </c>
      <c r="K108" s="19"/>
      <c r="L108" s="24">
        <v>39306</v>
      </c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79" t="s">
        <v>1689</v>
      </c>
      <c r="B109" s="80"/>
      <c r="C109" s="80"/>
      <c r="D109" s="80"/>
      <c r="E109" s="80"/>
      <c r="F109" s="80"/>
      <c r="G109" s="81"/>
      <c r="H109" s="10"/>
      <c r="I109" s="10"/>
      <c r="J109" s="10"/>
      <c r="K109" s="10"/>
      <c r="L109" s="1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10">
        <v>513</v>
      </c>
      <c r="B110" s="10" t="s">
        <v>1709</v>
      </c>
      <c r="C110" s="10" t="s">
        <v>23</v>
      </c>
      <c r="D110" s="10" t="s">
        <v>1711</v>
      </c>
      <c r="E110" s="10" t="s">
        <v>36</v>
      </c>
      <c r="F110" s="10" t="s">
        <v>1712</v>
      </c>
      <c r="G110" s="19" t="s">
        <v>34</v>
      </c>
      <c r="H110" s="22" t="s">
        <v>564</v>
      </c>
      <c r="I110" s="19" t="s">
        <v>129</v>
      </c>
      <c r="J110" s="12" t="s">
        <v>1716</v>
      </c>
      <c r="K110" s="19"/>
      <c r="L110" s="1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10">
        <v>507</v>
      </c>
      <c r="B111" s="10" t="s">
        <v>1709</v>
      </c>
      <c r="C111" s="10" t="s">
        <v>23</v>
      </c>
      <c r="D111" s="10" t="s">
        <v>1725</v>
      </c>
      <c r="E111" s="10" t="s">
        <v>26</v>
      </c>
      <c r="F111" s="10" t="s">
        <v>1729</v>
      </c>
      <c r="G111" s="19" t="s">
        <v>43</v>
      </c>
      <c r="H111" s="22" t="s">
        <v>564</v>
      </c>
      <c r="I111" s="19"/>
      <c r="J111" s="12" t="s">
        <v>1731</v>
      </c>
      <c r="K111" s="19"/>
      <c r="L111" s="1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10">
        <v>508</v>
      </c>
      <c r="B112" s="10" t="s">
        <v>1709</v>
      </c>
      <c r="C112" s="10" t="s">
        <v>23</v>
      </c>
      <c r="D112" s="10" t="s">
        <v>1740</v>
      </c>
      <c r="E112" s="10" t="s">
        <v>798</v>
      </c>
      <c r="F112" s="10" t="s">
        <v>1742</v>
      </c>
      <c r="G112" s="19" t="s">
        <v>52</v>
      </c>
      <c r="H112" s="22" t="s">
        <v>564</v>
      </c>
      <c r="I112" s="19"/>
      <c r="J112" s="12" t="s">
        <v>1747</v>
      </c>
      <c r="K112" s="19"/>
      <c r="L112" s="1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79" t="s">
        <v>1754</v>
      </c>
      <c r="B113" s="80"/>
      <c r="C113" s="80"/>
      <c r="D113" s="80"/>
      <c r="E113" s="80"/>
      <c r="F113" s="80"/>
      <c r="G113" s="81"/>
      <c r="H113" s="10"/>
      <c r="I113" s="10"/>
      <c r="J113" s="10"/>
      <c r="K113" s="10"/>
      <c r="L113" s="1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10">
        <v>526</v>
      </c>
      <c r="B114" s="10" t="s">
        <v>1709</v>
      </c>
      <c r="C114" s="10" t="s">
        <v>141</v>
      </c>
      <c r="D114" s="10" t="s">
        <v>1776</v>
      </c>
      <c r="E114" s="10" t="s">
        <v>183</v>
      </c>
      <c r="F114" s="10" t="s">
        <v>1778</v>
      </c>
      <c r="G114" s="19" t="s">
        <v>34</v>
      </c>
      <c r="H114" s="22" t="s">
        <v>564</v>
      </c>
      <c r="I114" s="19" t="s">
        <v>129</v>
      </c>
      <c r="J114" s="12" t="s">
        <v>1783</v>
      </c>
      <c r="K114" s="19"/>
      <c r="L114" s="1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10">
        <v>552</v>
      </c>
      <c r="B115" s="10" t="s">
        <v>1709</v>
      </c>
      <c r="C115" s="10" t="s">
        <v>141</v>
      </c>
      <c r="D115" s="10" t="s">
        <v>1792</v>
      </c>
      <c r="E115" s="10" t="s">
        <v>45</v>
      </c>
      <c r="F115" s="10" t="s">
        <v>1795</v>
      </c>
      <c r="G115" s="19" t="s">
        <v>43</v>
      </c>
      <c r="H115" s="22" t="s">
        <v>564</v>
      </c>
      <c r="I115" s="19"/>
      <c r="J115" s="12" t="s">
        <v>1797</v>
      </c>
      <c r="K115" s="19"/>
      <c r="L115" s="1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10">
        <v>535</v>
      </c>
      <c r="B116" s="10" t="s">
        <v>1709</v>
      </c>
      <c r="C116" s="10" t="s">
        <v>141</v>
      </c>
      <c r="D116" s="10" t="s">
        <v>1805</v>
      </c>
      <c r="E116" s="10" t="s">
        <v>183</v>
      </c>
      <c r="F116" s="10" t="s">
        <v>1807</v>
      </c>
      <c r="G116" s="19" t="s">
        <v>52</v>
      </c>
      <c r="H116" s="22" t="s">
        <v>564</v>
      </c>
      <c r="I116" s="19"/>
      <c r="J116" s="10" t="s">
        <v>1814</v>
      </c>
      <c r="K116" s="19"/>
      <c r="L116" s="19"/>
      <c r="M116" s="18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11"/>
      <c r="B117" s="11"/>
      <c r="C117" s="11"/>
      <c r="D117" s="11"/>
      <c r="E117" s="11"/>
      <c r="F117" s="11"/>
      <c r="G117" s="42"/>
      <c r="H117" s="42"/>
      <c r="I117" s="42"/>
      <c r="J117" s="42"/>
      <c r="K117" s="42"/>
      <c r="L117" s="42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11"/>
      <c r="B118" s="11"/>
      <c r="C118" s="11"/>
      <c r="D118" s="11"/>
      <c r="E118" s="11"/>
      <c r="F118" s="11"/>
      <c r="G118" s="42"/>
      <c r="H118" s="42"/>
      <c r="I118" s="42"/>
      <c r="J118" s="42"/>
      <c r="K118" s="42"/>
      <c r="L118" s="42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1"/>
      <c r="B119" s="11"/>
      <c r="C119" s="11"/>
      <c r="D119" s="11"/>
      <c r="E119" s="11"/>
      <c r="F119" s="11"/>
      <c r="G119" s="42"/>
      <c r="H119" s="42"/>
      <c r="I119" s="42"/>
      <c r="J119" s="42"/>
      <c r="K119" s="42"/>
      <c r="L119" s="42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1"/>
      <c r="B120" s="11"/>
      <c r="C120" s="11"/>
      <c r="D120" s="11"/>
      <c r="E120" s="11"/>
      <c r="F120" s="11"/>
      <c r="G120" s="42"/>
      <c r="H120" s="42"/>
      <c r="I120" s="42"/>
      <c r="J120" s="42"/>
      <c r="K120" s="42"/>
      <c r="L120" s="42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1"/>
      <c r="B121" s="11"/>
      <c r="C121" s="11"/>
      <c r="D121" s="11"/>
      <c r="E121" s="11"/>
      <c r="F121" s="11"/>
      <c r="G121" s="42"/>
      <c r="H121" s="42"/>
      <c r="I121" s="42"/>
      <c r="J121" s="42"/>
      <c r="K121" s="42"/>
      <c r="L121" s="42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1"/>
      <c r="B122" s="11"/>
      <c r="C122" s="11"/>
      <c r="D122" s="11"/>
      <c r="E122" s="11"/>
      <c r="F122" s="11"/>
      <c r="G122" s="42"/>
      <c r="H122" s="42"/>
      <c r="I122" s="42"/>
      <c r="J122" s="42"/>
      <c r="K122" s="42"/>
      <c r="L122" s="42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1"/>
      <c r="B123" s="11"/>
      <c r="C123" s="11"/>
      <c r="D123" s="11"/>
      <c r="E123" s="11"/>
      <c r="F123" s="11"/>
      <c r="G123" s="42"/>
      <c r="H123" s="42"/>
      <c r="I123" s="42"/>
      <c r="J123" s="42"/>
      <c r="K123" s="42"/>
      <c r="L123" s="42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1"/>
      <c r="B124" s="11"/>
      <c r="C124" s="11"/>
      <c r="D124" s="11"/>
      <c r="E124" s="11"/>
      <c r="F124" s="11"/>
      <c r="G124" s="42"/>
      <c r="H124" s="42"/>
      <c r="I124" s="42"/>
      <c r="J124" s="42"/>
      <c r="K124" s="42"/>
      <c r="L124" s="42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1"/>
      <c r="B125" s="11"/>
      <c r="C125" s="11"/>
      <c r="D125" s="11"/>
      <c r="E125" s="11"/>
      <c r="F125" s="11"/>
      <c r="G125" s="42"/>
      <c r="H125" s="42"/>
      <c r="I125" s="42"/>
      <c r="J125" s="42"/>
      <c r="K125" s="42"/>
      <c r="L125" s="42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11"/>
      <c r="B126" s="11"/>
      <c r="C126" s="11"/>
      <c r="D126" s="11"/>
      <c r="E126" s="11"/>
      <c r="F126" s="11"/>
      <c r="G126" s="42"/>
      <c r="H126" s="42"/>
      <c r="I126" s="42"/>
      <c r="J126" s="42"/>
      <c r="K126" s="42"/>
      <c r="L126" s="42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11"/>
      <c r="B127" s="11"/>
      <c r="C127" s="11"/>
      <c r="D127" s="11"/>
      <c r="E127" s="11"/>
      <c r="F127" s="11"/>
      <c r="G127" s="42"/>
      <c r="H127" s="42"/>
      <c r="I127" s="42"/>
      <c r="J127" s="42"/>
      <c r="K127" s="42"/>
      <c r="L127" s="42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11"/>
      <c r="B128" s="11"/>
      <c r="C128" s="11"/>
      <c r="D128" s="11"/>
      <c r="E128" s="11"/>
      <c r="F128" s="11"/>
      <c r="G128" s="42"/>
      <c r="H128" s="42"/>
      <c r="I128" s="42"/>
      <c r="J128" s="42"/>
      <c r="K128" s="42"/>
      <c r="L128" s="42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11"/>
      <c r="B129" s="11"/>
      <c r="C129" s="11"/>
      <c r="D129" s="11"/>
      <c r="E129" s="11"/>
      <c r="F129" s="11"/>
      <c r="G129" s="42"/>
      <c r="H129" s="42"/>
      <c r="I129" s="42"/>
      <c r="J129" s="42"/>
      <c r="K129" s="42"/>
      <c r="L129" s="42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11"/>
      <c r="B130" s="11"/>
      <c r="C130" s="11"/>
      <c r="D130" s="11"/>
      <c r="E130" s="11"/>
      <c r="F130" s="11"/>
      <c r="G130" s="42"/>
      <c r="H130" s="42"/>
      <c r="I130" s="42"/>
      <c r="J130" s="42"/>
      <c r="K130" s="42"/>
      <c r="L130" s="42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11"/>
      <c r="B131" s="11"/>
      <c r="C131" s="11"/>
      <c r="D131" s="11"/>
      <c r="E131" s="11"/>
      <c r="F131" s="11"/>
      <c r="G131" s="42"/>
      <c r="H131" s="42"/>
      <c r="I131" s="42"/>
      <c r="J131" s="42"/>
      <c r="K131" s="42"/>
      <c r="L131" s="42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11"/>
      <c r="B132" s="11"/>
      <c r="C132" s="11"/>
      <c r="D132" s="11"/>
      <c r="E132" s="11"/>
      <c r="F132" s="11"/>
      <c r="G132" s="42"/>
      <c r="H132" s="42"/>
      <c r="I132" s="42"/>
      <c r="J132" s="42"/>
      <c r="K132" s="42"/>
      <c r="L132" s="42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11"/>
      <c r="B133" s="11"/>
      <c r="C133" s="11"/>
      <c r="D133" s="11"/>
      <c r="E133" s="11"/>
      <c r="F133" s="11"/>
      <c r="G133" s="42"/>
      <c r="H133" s="42"/>
      <c r="I133" s="42"/>
      <c r="J133" s="42"/>
      <c r="K133" s="42"/>
      <c r="L133" s="42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11"/>
      <c r="B134" s="11"/>
      <c r="C134" s="11"/>
      <c r="D134" s="11"/>
      <c r="E134" s="11"/>
      <c r="F134" s="11"/>
      <c r="G134" s="42"/>
      <c r="H134" s="42"/>
      <c r="I134" s="42"/>
      <c r="J134" s="42"/>
      <c r="K134" s="42"/>
      <c r="L134" s="42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11"/>
      <c r="B135" s="11"/>
      <c r="C135" s="11"/>
      <c r="D135" s="11"/>
      <c r="E135" s="11"/>
      <c r="F135" s="11"/>
      <c r="G135" s="42"/>
      <c r="H135" s="42"/>
      <c r="I135" s="42"/>
      <c r="J135" s="42"/>
      <c r="K135" s="42"/>
      <c r="L135" s="42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11"/>
      <c r="B136" s="11"/>
      <c r="C136" s="11"/>
      <c r="D136" s="11"/>
      <c r="E136" s="11"/>
      <c r="F136" s="11"/>
      <c r="G136" s="42"/>
      <c r="H136" s="42"/>
      <c r="I136" s="42"/>
      <c r="J136" s="42"/>
      <c r="K136" s="42"/>
      <c r="L136" s="42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11"/>
      <c r="B137" s="11"/>
      <c r="C137" s="11"/>
      <c r="D137" s="11"/>
      <c r="E137" s="11"/>
      <c r="F137" s="11"/>
      <c r="G137" s="42"/>
      <c r="H137" s="42"/>
      <c r="I137" s="42"/>
      <c r="J137" s="42"/>
      <c r="K137" s="42"/>
      <c r="L137" s="42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11"/>
      <c r="B138" s="11"/>
      <c r="C138" s="11"/>
      <c r="D138" s="11"/>
      <c r="E138" s="11"/>
      <c r="F138" s="11"/>
      <c r="G138" s="42"/>
      <c r="H138" s="42"/>
      <c r="I138" s="42"/>
      <c r="J138" s="42"/>
      <c r="K138" s="42"/>
      <c r="L138" s="42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11"/>
      <c r="B139" s="11"/>
      <c r="C139" s="11"/>
      <c r="D139" s="11"/>
      <c r="E139" s="11"/>
      <c r="F139" s="11"/>
      <c r="G139" s="42"/>
      <c r="H139" s="42"/>
      <c r="I139" s="42"/>
      <c r="J139" s="42"/>
      <c r="K139" s="42"/>
      <c r="L139" s="42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11"/>
      <c r="B140" s="11"/>
      <c r="C140" s="11"/>
      <c r="D140" s="11"/>
      <c r="E140" s="11"/>
      <c r="F140" s="11"/>
      <c r="G140" s="42"/>
      <c r="H140" s="42"/>
      <c r="I140" s="42"/>
      <c r="J140" s="42"/>
      <c r="K140" s="42"/>
      <c r="L140" s="42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11"/>
      <c r="B141" s="11"/>
      <c r="C141" s="11"/>
      <c r="D141" s="11"/>
      <c r="E141" s="11"/>
      <c r="F141" s="11"/>
      <c r="G141" s="42"/>
      <c r="H141" s="42"/>
      <c r="I141" s="42"/>
      <c r="J141" s="42"/>
      <c r="K141" s="42"/>
      <c r="L141" s="42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11"/>
      <c r="B142" s="11"/>
      <c r="C142" s="11"/>
      <c r="D142" s="11"/>
      <c r="E142" s="11"/>
      <c r="F142" s="11"/>
      <c r="G142" s="42"/>
      <c r="H142" s="42"/>
      <c r="I142" s="42"/>
      <c r="J142" s="42"/>
      <c r="K142" s="42"/>
      <c r="L142" s="42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11"/>
      <c r="B143" s="11"/>
      <c r="C143" s="11"/>
      <c r="D143" s="11"/>
      <c r="E143" s="11"/>
      <c r="F143" s="11"/>
      <c r="G143" s="42"/>
      <c r="H143" s="42"/>
      <c r="I143" s="42"/>
      <c r="J143" s="42"/>
      <c r="K143" s="42"/>
      <c r="L143" s="42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11"/>
      <c r="B144" s="11"/>
      <c r="C144" s="11"/>
      <c r="D144" s="11"/>
      <c r="E144" s="11"/>
      <c r="F144" s="11"/>
      <c r="G144" s="42"/>
      <c r="H144" s="42"/>
      <c r="I144" s="42"/>
      <c r="J144" s="42"/>
      <c r="K144" s="42"/>
      <c r="L144" s="42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11"/>
      <c r="B145" s="11"/>
      <c r="C145" s="11"/>
      <c r="D145" s="11"/>
      <c r="E145" s="11"/>
      <c r="F145" s="11"/>
      <c r="G145" s="42"/>
      <c r="H145" s="42"/>
      <c r="I145" s="42"/>
      <c r="J145" s="42"/>
      <c r="K145" s="42"/>
      <c r="L145" s="42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11"/>
      <c r="B146" s="11"/>
      <c r="C146" s="11"/>
      <c r="D146" s="11"/>
      <c r="E146" s="11"/>
      <c r="F146" s="11"/>
      <c r="G146" s="42"/>
      <c r="H146" s="42"/>
      <c r="I146" s="42"/>
      <c r="J146" s="42"/>
      <c r="K146" s="42"/>
      <c r="L146" s="42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11"/>
      <c r="B147" s="11"/>
      <c r="C147" s="11"/>
      <c r="D147" s="11"/>
      <c r="E147" s="11"/>
      <c r="F147" s="11"/>
      <c r="G147" s="42"/>
      <c r="H147" s="42"/>
      <c r="I147" s="42"/>
      <c r="J147" s="42"/>
      <c r="K147" s="42"/>
      <c r="L147" s="42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11"/>
      <c r="B148" s="11"/>
      <c r="C148" s="11"/>
      <c r="D148" s="11"/>
      <c r="E148" s="11"/>
      <c r="F148" s="11"/>
      <c r="G148" s="42"/>
      <c r="H148" s="42"/>
      <c r="I148" s="42"/>
      <c r="J148" s="42"/>
      <c r="K148" s="42"/>
      <c r="L148" s="42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11"/>
      <c r="B149" s="11"/>
      <c r="C149" s="11"/>
      <c r="D149" s="11"/>
      <c r="E149" s="11"/>
      <c r="F149" s="11"/>
      <c r="G149" s="42"/>
      <c r="H149" s="42"/>
      <c r="I149" s="42"/>
      <c r="J149" s="42"/>
      <c r="K149" s="42"/>
      <c r="L149" s="42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11"/>
      <c r="B150" s="11"/>
      <c r="C150" s="11"/>
      <c r="D150" s="11"/>
      <c r="E150" s="11"/>
      <c r="F150" s="11"/>
      <c r="G150" s="42"/>
      <c r="H150" s="42"/>
      <c r="I150" s="42"/>
      <c r="J150" s="42"/>
      <c r="K150" s="42"/>
      <c r="L150" s="42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11"/>
      <c r="B151" s="11"/>
      <c r="C151" s="11"/>
      <c r="D151" s="11"/>
      <c r="E151" s="11"/>
      <c r="F151" s="11"/>
      <c r="G151" s="42"/>
      <c r="H151" s="42"/>
      <c r="I151" s="42"/>
      <c r="J151" s="42"/>
      <c r="K151" s="42"/>
      <c r="L151" s="42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11"/>
      <c r="B152" s="11"/>
      <c r="C152" s="11"/>
      <c r="D152" s="11"/>
      <c r="E152" s="11"/>
      <c r="F152" s="11"/>
      <c r="G152" s="42"/>
      <c r="H152" s="42"/>
      <c r="I152" s="42"/>
      <c r="J152" s="42"/>
      <c r="K152" s="42"/>
      <c r="L152" s="42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11"/>
      <c r="B153" s="11"/>
      <c r="C153" s="11"/>
      <c r="D153" s="11"/>
      <c r="E153" s="11"/>
      <c r="F153" s="11"/>
      <c r="G153" s="42"/>
      <c r="H153" s="42"/>
      <c r="I153" s="42"/>
      <c r="J153" s="42"/>
      <c r="K153" s="42"/>
      <c r="L153" s="42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11"/>
      <c r="B154" s="11"/>
      <c r="C154" s="11"/>
      <c r="D154" s="11"/>
      <c r="E154" s="11"/>
      <c r="F154" s="11"/>
      <c r="G154" s="42"/>
      <c r="H154" s="42"/>
      <c r="I154" s="42"/>
      <c r="J154" s="42"/>
      <c r="K154" s="42"/>
      <c r="L154" s="42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11"/>
      <c r="B155" s="11"/>
      <c r="C155" s="11"/>
      <c r="D155" s="11"/>
      <c r="E155" s="11"/>
      <c r="F155" s="11"/>
      <c r="G155" s="42"/>
      <c r="H155" s="42"/>
      <c r="I155" s="42"/>
      <c r="J155" s="42"/>
      <c r="K155" s="42"/>
      <c r="L155" s="42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11"/>
      <c r="B156" s="11"/>
      <c r="C156" s="11"/>
      <c r="D156" s="11"/>
      <c r="E156" s="11"/>
      <c r="F156" s="11"/>
      <c r="G156" s="42"/>
      <c r="H156" s="42"/>
      <c r="I156" s="42"/>
      <c r="J156" s="42"/>
      <c r="K156" s="42"/>
      <c r="L156" s="42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11"/>
      <c r="B157" s="11"/>
      <c r="C157" s="11"/>
      <c r="D157" s="11"/>
      <c r="E157" s="11"/>
      <c r="F157" s="11"/>
      <c r="G157" s="42"/>
      <c r="H157" s="42"/>
      <c r="I157" s="42"/>
      <c r="J157" s="42"/>
      <c r="K157" s="42"/>
      <c r="L157" s="42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11"/>
      <c r="B158" s="11"/>
      <c r="C158" s="11"/>
      <c r="D158" s="11"/>
      <c r="E158" s="11"/>
      <c r="F158" s="11"/>
      <c r="G158" s="42"/>
      <c r="H158" s="42"/>
      <c r="I158" s="42"/>
      <c r="J158" s="42"/>
      <c r="K158" s="42"/>
      <c r="L158" s="42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11"/>
      <c r="B159" s="11"/>
      <c r="C159" s="11"/>
      <c r="D159" s="11"/>
      <c r="E159" s="11"/>
      <c r="F159" s="11"/>
      <c r="G159" s="42"/>
      <c r="H159" s="42"/>
      <c r="I159" s="42"/>
      <c r="J159" s="42"/>
      <c r="K159" s="42"/>
      <c r="L159" s="42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11"/>
      <c r="B160" s="11"/>
      <c r="C160" s="11"/>
      <c r="D160" s="11"/>
      <c r="E160" s="11"/>
      <c r="F160" s="11"/>
      <c r="G160" s="42"/>
      <c r="H160" s="42"/>
      <c r="I160" s="42"/>
      <c r="J160" s="42"/>
      <c r="K160" s="42"/>
      <c r="L160" s="42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11"/>
      <c r="B161" s="11"/>
      <c r="C161" s="11"/>
      <c r="D161" s="11"/>
      <c r="E161" s="11"/>
      <c r="F161" s="11"/>
      <c r="G161" s="42"/>
      <c r="H161" s="42"/>
      <c r="I161" s="42"/>
      <c r="J161" s="42"/>
      <c r="K161" s="42"/>
      <c r="L161" s="42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11"/>
      <c r="B162" s="11"/>
      <c r="C162" s="11"/>
      <c r="D162" s="11"/>
      <c r="E162" s="11"/>
      <c r="F162" s="11"/>
      <c r="G162" s="42"/>
      <c r="H162" s="42"/>
      <c r="I162" s="42"/>
      <c r="J162" s="42"/>
      <c r="K162" s="42"/>
      <c r="L162" s="42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11"/>
      <c r="B163" s="11"/>
      <c r="C163" s="11"/>
      <c r="D163" s="11"/>
      <c r="E163" s="11"/>
      <c r="F163" s="11"/>
      <c r="G163" s="42"/>
      <c r="H163" s="42"/>
      <c r="I163" s="42"/>
      <c r="J163" s="42"/>
      <c r="K163" s="42"/>
      <c r="L163" s="42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11"/>
      <c r="B164" s="11"/>
      <c r="C164" s="11"/>
      <c r="D164" s="11"/>
      <c r="E164" s="11"/>
      <c r="F164" s="11"/>
      <c r="G164" s="42"/>
      <c r="H164" s="42"/>
      <c r="I164" s="42"/>
      <c r="J164" s="42"/>
      <c r="K164" s="42"/>
      <c r="L164" s="42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11"/>
      <c r="B165" s="11"/>
      <c r="C165" s="11"/>
      <c r="D165" s="11"/>
      <c r="E165" s="11"/>
      <c r="F165" s="11"/>
      <c r="G165" s="42"/>
      <c r="H165" s="42"/>
      <c r="I165" s="42"/>
      <c r="J165" s="42"/>
      <c r="K165" s="42"/>
      <c r="L165" s="42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11"/>
      <c r="B166" s="11"/>
      <c r="C166" s="11"/>
      <c r="D166" s="11"/>
      <c r="E166" s="11"/>
      <c r="F166" s="11"/>
      <c r="G166" s="42"/>
      <c r="H166" s="42"/>
      <c r="I166" s="42"/>
      <c r="J166" s="42"/>
      <c r="K166" s="42"/>
      <c r="L166" s="42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11"/>
      <c r="B167" s="11"/>
      <c r="C167" s="11"/>
      <c r="D167" s="11"/>
      <c r="E167" s="11"/>
      <c r="F167" s="11"/>
      <c r="G167" s="42"/>
      <c r="H167" s="42"/>
      <c r="I167" s="42"/>
      <c r="J167" s="42"/>
      <c r="K167" s="42"/>
      <c r="L167" s="42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11"/>
      <c r="B168" s="11"/>
      <c r="C168" s="11"/>
      <c r="D168" s="11"/>
      <c r="E168" s="11"/>
      <c r="F168" s="11"/>
      <c r="G168" s="42"/>
      <c r="H168" s="42"/>
      <c r="I168" s="42"/>
      <c r="J168" s="42"/>
      <c r="K168" s="42"/>
      <c r="L168" s="42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11"/>
      <c r="B169" s="11"/>
      <c r="C169" s="11"/>
      <c r="D169" s="11"/>
      <c r="E169" s="11"/>
      <c r="F169" s="11"/>
      <c r="G169" s="42"/>
      <c r="H169" s="42"/>
      <c r="I169" s="42"/>
      <c r="J169" s="42"/>
      <c r="K169" s="42"/>
      <c r="L169" s="42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11"/>
      <c r="B170" s="11"/>
      <c r="C170" s="11"/>
      <c r="D170" s="11"/>
      <c r="E170" s="11"/>
      <c r="F170" s="11"/>
      <c r="G170" s="42"/>
      <c r="H170" s="42"/>
      <c r="I170" s="42"/>
      <c r="J170" s="42"/>
      <c r="K170" s="42"/>
      <c r="L170" s="42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11"/>
      <c r="B171" s="11"/>
      <c r="C171" s="11"/>
      <c r="D171" s="11"/>
      <c r="E171" s="11"/>
      <c r="F171" s="11"/>
      <c r="G171" s="42"/>
      <c r="H171" s="42"/>
      <c r="I171" s="42"/>
      <c r="J171" s="42"/>
      <c r="K171" s="42"/>
      <c r="L171" s="42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11"/>
      <c r="B172" s="11"/>
      <c r="C172" s="11"/>
      <c r="D172" s="11"/>
      <c r="E172" s="11"/>
      <c r="F172" s="11"/>
      <c r="G172" s="42"/>
      <c r="H172" s="42"/>
      <c r="I172" s="42"/>
      <c r="J172" s="42"/>
      <c r="K172" s="42"/>
      <c r="L172" s="42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11"/>
      <c r="B173" s="11"/>
      <c r="C173" s="11"/>
      <c r="D173" s="11"/>
      <c r="E173" s="11"/>
      <c r="F173" s="11"/>
      <c r="G173" s="42"/>
      <c r="H173" s="42"/>
      <c r="I173" s="42"/>
      <c r="J173" s="42"/>
      <c r="K173" s="42"/>
      <c r="L173" s="42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11"/>
      <c r="B174" s="11"/>
      <c r="C174" s="11"/>
      <c r="D174" s="11"/>
      <c r="E174" s="11"/>
      <c r="F174" s="11"/>
      <c r="G174" s="42"/>
      <c r="H174" s="42"/>
      <c r="I174" s="42"/>
      <c r="J174" s="42"/>
      <c r="K174" s="42"/>
      <c r="L174" s="42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11"/>
      <c r="B175" s="11"/>
      <c r="C175" s="11"/>
      <c r="D175" s="11"/>
      <c r="E175" s="11"/>
      <c r="F175" s="11"/>
      <c r="G175" s="42"/>
      <c r="H175" s="42"/>
      <c r="I175" s="42"/>
      <c r="J175" s="42"/>
      <c r="K175" s="42"/>
      <c r="L175" s="42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11"/>
      <c r="B176" s="11"/>
      <c r="C176" s="11"/>
      <c r="D176" s="11"/>
      <c r="E176" s="11"/>
      <c r="F176" s="11"/>
      <c r="G176" s="42"/>
      <c r="H176" s="42"/>
      <c r="I176" s="42"/>
      <c r="J176" s="42"/>
      <c r="K176" s="42"/>
      <c r="L176" s="42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11"/>
      <c r="B177" s="11"/>
      <c r="C177" s="11"/>
      <c r="D177" s="11"/>
      <c r="E177" s="11"/>
      <c r="F177" s="11"/>
      <c r="G177" s="42"/>
      <c r="H177" s="42"/>
      <c r="I177" s="42"/>
      <c r="J177" s="42"/>
      <c r="K177" s="42"/>
      <c r="L177" s="42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11"/>
      <c r="B178" s="11"/>
      <c r="C178" s="11"/>
      <c r="D178" s="11"/>
      <c r="E178" s="11"/>
      <c r="F178" s="11"/>
      <c r="G178" s="42"/>
      <c r="H178" s="42"/>
      <c r="I178" s="42"/>
      <c r="J178" s="42"/>
      <c r="K178" s="42"/>
      <c r="L178" s="42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11"/>
      <c r="B179" s="11"/>
      <c r="C179" s="11"/>
      <c r="D179" s="11"/>
      <c r="E179" s="11"/>
      <c r="F179" s="11"/>
      <c r="G179" s="42"/>
      <c r="H179" s="42"/>
      <c r="I179" s="42"/>
      <c r="J179" s="42"/>
      <c r="K179" s="42"/>
      <c r="L179" s="42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11"/>
      <c r="B180" s="11"/>
      <c r="C180" s="11"/>
      <c r="D180" s="11"/>
      <c r="E180" s="11"/>
      <c r="F180" s="11"/>
      <c r="G180" s="42"/>
      <c r="H180" s="42"/>
      <c r="I180" s="42"/>
      <c r="J180" s="42"/>
      <c r="K180" s="42"/>
      <c r="L180" s="42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11"/>
      <c r="B181" s="11"/>
      <c r="C181" s="11"/>
      <c r="D181" s="11"/>
      <c r="E181" s="11"/>
      <c r="F181" s="11"/>
      <c r="G181" s="42"/>
      <c r="H181" s="42"/>
      <c r="I181" s="42"/>
      <c r="J181" s="42"/>
      <c r="K181" s="42"/>
      <c r="L181" s="42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11"/>
      <c r="B182" s="11"/>
      <c r="C182" s="11"/>
      <c r="D182" s="11"/>
      <c r="E182" s="11"/>
      <c r="F182" s="11"/>
      <c r="G182" s="42"/>
      <c r="H182" s="42"/>
      <c r="I182" s="42"/>
      <c r="J182" s="42"/>
      <c r="K182" s="42"/>
      <c r="L182" s="42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11"/>
      <c r="B183" s="11"/>
      <c r="C183" s="11"/>
      <c r="D183" s="11"/>
      <c r="E183" s="11"/>
      <c r="F183" s="11"/>
      <c r="G183" s="42"/>
      <c r="H183" s="42"/>
      <c r="I183" s="42"/>
      <c r="J183" s="42"/>
      <c r="K183" s="42"/>
      <c r="L183" s="42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11"/>
      <c r="B184" s="11"/>
      <c r="C184" s="11"/>
      <c r="D184" s="11"/>
      <c r="E184" s="11"/>
      <c r="F184" s="11"/>
      <c r="G184" s="42"/>
      <c r="H184" s="42"/>
      <c r="I184" s="42"/>
      <c r="J184" s="42"/>
      <c r="K184" s="42"/>
      <c r="L184" s="42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11"/>
      <c r="B185" s="11"/>
      <c r="C185" s="11"/>
      <c r="D185" s="11"/>
      <c r="E185" s="11"/>
      <c r="F185" s="11"/>
      <c r="G185" s="42"/>
      <c r="H185" s="42"/>
      <c r="I185" s="42"/>
      <c r="J185" s="42"/>
      <c r="K185" s="42"/>
      <c r="L185" s="42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11"/>
      <c r="B186" s="11"/>
      <c r="C186" s="11"/>
      <c r="D186" s="11"/>
      <c r="E186" s="11"/>
      <c r="F186" s="11"/>
      <c r="G186" s="42"/>
      <c r="H186" s="42"/>
      <c r="I186" s="42"/>
      <c r="J186" s="42"/>
      <c r="K186" s="42"/>
      <c r="L186" s="42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11"/>
      <c r="B187" s="11"/>
      <c r="C187" s="11"/>
      <c r="D187" s="11"/>
      <c r="E187" s="11"/>
      <c r="F187" s="11"/>
      <c r="G187" s="42"/>
      <c r="H187" s="42"/>
      <c r="I187" s="42"/>
      <c r="J187" s="42"/>
      <c r="K187" s="42"/>
      <c r="L187" s="42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11"/>
      <c r="B188" s="11"/>
      <c r="C188" s="11"/>
      <c r="D188" s="11"/>
      <c r="E188" s="11"/>
      <c r="F188" s="11"/>
      <c r="G188" s="42"/>
      <c r="H188" s="42"/>
      <c r="I188" s="42"/>
      <c r="J188" s="42"/>
      <c r="K188" s="42"/>
      <c r="L188" s="42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11"/>
      <c r="B189" s="11"/>
      <c r="C189" s="11"/>
      <c r="D189" s="11"/>
      <c r="E189" s="11"/>
      <c r="F189" s="11"/>
      <c r="G189" s="42"/>
      <c r="H189" s="42"/>
      <c r="I189" s="42"/>
      <c r="J189" s="42"/>
      <c r="K189" s="42"/>
      <c r="L189" s="42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11"/>
      <c r="B190" s="11"/>
      <c r="C190" s="11"/>
      <c r="D190" s="11"/>
      <c r="E190" s="11"/>
      <c r="F190" s="11"/>
      <c r="G190" s="42"/>
      <c r="H190" s="42"/>
      <c r="I190" s="42"/>
      <c r="J190" s="42"/>
      <c r="K190" s="42"/>
      <c r="L190" s="42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11"/>
      <c r="B191" s="11"/>
      <c r="C191" s="11"/>
      <c r="D191" s="11"/>
      <c r="E191" s="11"/>
      <c r="F191" s="11"/>
      <c r="G191" s="42"/>
      <c r="H191" s="42"/>
      <c r="I191" s="42"/>
      <c r="J191" s="42"/>
      <c r="K191" s="42"/>
      <c r="L191" s="42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11"/>
      <c r="B192" s="11"/>
      <c r="C192" s="11"/>
      <c r="D192" s="11"/>
      <c r="E192" s="11"/>
      <c r="F192" s="11"/>
      <c r="G192" s="42"/>
      <c r="H192" s="42"/>
      <c r="I192" s="42"/>
      <c r="J192" s="42"/>
      <c r="K192" s="42"/>
      <c r="L192" s="42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11"/>
      <c r="B193" s="11"/>
      <c r="C193" s="11"/>
      <c r="D193" s="11"/>
      <c r="E193" s="11"/>
      <c r="F193" s="11"/>
      <c r="G193" s="42"/>
      <c r="H193" s="42"/>
      <c r="I193" s="42"/>
      <c r="J193" s="42"/>
      <c r="K193" s="42"/>
      <c r="L193" s="42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11"/>
      <c r="B194" s="11"/>
      <c r="C194" s="11"/>
      <c r="D194" s="11"/>
      <c r="E194" s="11"/>
      <c r="F194" s="11"/>
      <c r="G194" s="42"/>
      <c r="H194" s="42"/>
      <c r="I194" s="42"/>
      <c r="J194" s="42"/>
      <c r="K194" s="42"/>
      <c r="L194" s="42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11"/>
      <c r="B195" s="11"/>
      <c r="C195" s="11"/>
      <c r="D195" s="11"/>
      <c r="E195" s="11"/>
      <c r="F195" s="11"/>
      <c r="G195" s="42"/>
      <c r="H195" s="42"/>
      <c r="I195" s="42"/>
      <c r="J195" s="42"/>
      <c r="K195" s="42"/>
      <c r="L195" s="42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11"/>
      <c r="B196" s="11"/>
      <c r="C196" s="11"/>
      <c r="D196" s="11"/>
      <c r="E196" s="11"/>
      <c r="F196" s="11"/>
      <c r="G196" s="42"/>
      <c r="H196" s="42"/>
      <c r="I196" s="42"/>
      <c r="J196" s="42"/>
      <c r="K196" s="42"/>
      <c r="L196" s="42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11"/>
      <c r="B197" s="11"/>
      <c r="C197" s="11"/>
      <c r="D197" s="11"/>
      <c r="E197" s="11"/>
      <c r="F197" s="11"/>
      <c r="G197" s="42"/>
      <c r="H197" s="42"/>
      <c r="I197" s="42"/>
      <c r="J197" s="42"/>
      <c r="K197" s="42"/>
      <c r="L197" s="42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11"/>
      <c r="B198" s="11"/>
      <c r="C198" s="11"/>
      <c r="D198" s="11"/>
      <c r="E198" s="11"/>
      <c r="F198" s="11"/>
      <c r="G198" s="42"/>
      <c r="H198" s="42"/>
      <c r="I198" s="42"/>
      <c r="J198" s="42"/>
      <c r="K198" s="42"/>
      <c r="L198" s="42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11"/>
      <c r="B199" s="11"/>
      <c r="C199" s="11"/>
      <c r="D199" s="11"/>
      <c r="E199" s="11"/>
      <c r="F199" s="11"/>
      <c r="G199" s="42"/>
      <c r="H199" s="42"/>
      <c r="I199" s="42"/>
      <c r="J199" s="42"/>
      <c r="K199" s="42"/>
      <c r="L199" s="42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11"/>
      <c r="B200" s="11"/>
      <c r="C200" s="11"/>
      <c r="D200" s="11"/>
      <c r="E200" s="11"/>
      <c r="F200" s="11"/>
      <c r="G200" s="42"/>
      <c r="H200" s="42"/>
      <c r="I200" s="42"/>
      <c r="J200" s="42"/>
      <c r="K200" s="42"/>
      <c r="L200" s="42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11"/>
      <c r="B201" s="11"/>
      <c r="C201" s="11"/>
      <c r="D201" s="11"/>
      <c r="E201" s="11"/>
      <c r="F201" s="11"/>
      <c r="G201" s="42"/>
      <c r="H201" s="42"/>
      <c r="I201" s="42"/>
      <c r="J201" s="42"/>
      <c r="K201" s="42"/>
      <c r="L201" s="42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11"/>
      <c r="B202" s="11"/>
      <c r="C202" s="11"/>
      <c r="D202" s="11"/>
      <c r="E202" s="11"/>
      <c r="F202" s="11"/>
      <c r="G202" s="42"/>
      <c r="H202" s="42"/>
      <c r="I202" s="42"/>
      <c r="J202" s="42"/>
      <c r="K202" s="42"/>
      <c r="L202" s="42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11"/>
      <c r="B203" s="11"/>
      <c r="C203" s="11"/>
      <c r="D203" s="11"/>
      <c r="E203" s="11"/>
      <c r="F203" s="11"/>
      <c r="G203" s="42"/>
      <c r="H203" s="42"/>
      <c r="I203" s="42"/>
      <c r="J203" s="42"/>
      <c r="K203" s="42"/>
      <c r="L203" s="42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11"/>
      <c r="B204" s="11"/>
      <c r="C204" s="11"/>
      <c r="D204" s="11"/>
      <c r="E204" s="11"/>
      <c r="F204" s="11"/>
      <c r="G204" s="42"/>
      <c r="H204" s="42"/>
      <c r="I204" s="42"/>
      <c r="J204" s="42"/>
      <c r="K204" s="42"/>
      <c r="L204" s="42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11"/>
      <c r="B205" s="11"/>
      <c r="C205" s="11"/>
      <c r="D205" s="11"/>
      <c r="E205" s="11"/>
      <c r="F205" s="11"/>
      <c r="G205" s="42"/>
      <c r="H205" s="42"/>
      <c r="I205" s="42"/>
      <c r="J205" s="42"/>
      <c r="K205" s="42"/>
      <c r="L205" s="42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11"/>
      <c r="B206" s="11"/>
      <c r="C206" s="11"/>
      <c r="D206" s="11"/>
      <c r="E206" s="11"/>
      <c r="F206" s="11"/>
      <c r="G206" s="42"/>
      <c r="H206" s="42"/>
      <c r="I206" s="42"/>
      <c r="J206" s="42"/>
      <c r="K206" s="42"/>
      <c r="L206" s="42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11"/>
      <c r="B207" s="11"/>
      <c r="C207" s="11"/>
      <c r="D207" s="11"/>
      <c r="E207" s="11"/>
      <c r="F207" s="11"/>
      <c r="G207" s="42"/>
      <c r="H207" s="42"/>
      <c r="I207" s="42"/>
      <c r="J207" s="42"/>
      <c r="K207" s="42"/>
      <c r="L207" s="42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11"/>
      <c r="B208" s="11"/>
      <c r="C208" s="11"/>
      <c r="D208" s="11"/>
      <c r="E208" s="11"/>
      <c r="F208" s="11"/>
      <c r="G208" s="42"/>
      <c r="H208" s="42"/>
      <c r="I208" s="42"/>
      <c r="J208" s="42"/>
      <c r="K208" s="42"/>
      <c r="L208" s="42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11"/>
      <c r="B209" s="11"/>
      <c r="C209" s="11"/>
      <c r="D209" s="11"/>
      <c r="E209" s="11"/>
      <c r="F209" s="11"/>
      <c r="G209" s="42"/>
      <c r="H209" s="42"/>
      <c r="I209" s="42"/>
      <c r="J209" s="42"/>
      <c r="K209" s="42"/>
      <c r="L209" s="42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11"/>
      <c r="B210" s="11"/>
      <c r="C210" s="11"/>
      <c r="D210" s="11"/>
      <c r="E210" s="11"/>
      <c r="F210" s="11"/>
      <c r="G210" s="42"/>
      <c r="H210" s="42"/>
      <c r="I210" s="42"/>
      <c r="J210" s="42"/>
      <c r="K210" s="42"/>
      <c r="L210" s="42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11"/>
      <c r="B211" s="11"/>
      <c r="C211" s="11"/>
      <c r="D211" s="11"/>
      <c r="E211" s="11"/>
      <c r="F211" s="11"/>
      <c r="G211" s="42"/>
      <c r="H211" s="42"/>
      <c r="I211" s="42"/>
      <c r="J211" s="42"/>
      <c r="K211" s="42"/>
      <c r="L211" s="42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11"/>
      <c r="B212" s="11"/>
      <c r="C212" s="11"/>
      <c r="D212" s="11"/>
      <c r="E212" s="11"/>
      <c r="F212" s="11"/>
      <c r="G212" s="42"/>
      <c r="H212" s="42"/>
      <c r="I212" s="42"/>
      <c r="J212" s="42"/>
      <c r="K212" s="42"/>
      <c r="L212" s="42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11"/>
      <c r="B213" s="11"/>
      <c r="C213" s="11"/>
      <c r="D213" s="11"/>
      <c r="E213" s="11"/>
      <c r="F213" s="11"/>
      <c r="G213" s="42"/>
      <c r="H213" s="42"/>
      <c r="I213" s="42"/>
      <c r="J213" s="42"/>
      <c r="K213" s="42"/>
      <c r="L213" s="42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11"/>
      <c r="B214" s="11"/>
      <c r="C214" s="11"/>
      <c r="D214" s="11"/>
      <c r="E214" s="11"/>
      <c r="F214" s="11"/>
      <c r="G214" s="42"/>
      <c r="H214" s="42"/>
      <c r="I214" s="42"/>
      <c r="J214" s="42"/>
      <c r="K214" s="42"/>
      <c r="L214" s="42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11"/>
      <c r="B215" s="11"/>
      <c r="C215" s="11"/>
      <c r="D215" s="11"/>
      <c r="E215" s="11"/>
      <c r="F215" s="11"/>
      <c r="G215" s="42"/>
      <c r="H215" s="42"/>
      <c r="I215" s="42"/>
      <c r="J215" s="42"/>
      <c r="K215" s="42"/>
      <c r="L215" s="42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11"/>
      <c r="B216" s="11"/>
      <c r="C216" s="11"/>
      <c r="D216" s="11"/>
      <c r="E216" s="11"/>
      <c r="F216" s="11"/>
      <c r="G216" s="42"/>
      <c r="H216" s="42"/>
      <c r="I216" s="42"/>
      <c r="J216" s="42"/>
      <c r="K216" s="42"/>
      <c r="L216" s="42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11"/>
      <c r="B217" s="11"/>
      <c r="C217" s="11"/>
      <c r="D217" s="11"/>
      <c r="E217" s="11"/>
      <c r="F217" s="11"/>
      <c r="G217" s="42"/>
      <c r="H217" s="42"/>
      <c r="I217" s="42"/>
      <c r="J217" s="42"/>
      <c r="K217" s="42"/>
      <c r="L217" s="42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11"/>
      <c r="B218" s="11"/>
      <c r="C218" s="11"/>
      <c r="D218" s="11"/>
      <c r="E218" s="11"/>
      <c r="F218" s="11"/>
      <c r="G218" s="42"/>
      <c r="H218" s="42"/>
      <c r="I218" s="42"/>
      <c r="J218" s="42"/>
      <c r="K218" s="42"/>
      <c r="L218" s="42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11"/>
      <c r="B219" s="11"/>
      <c r="C219" s="11"/>
      <c r="D219" s="11"/>
      <c r="E219" s="11"/>
      <c r="F219" s="11"/>
      <c r="G219" s="42"/>
      <c r="H219" s="42"/>
      <c r="I219" s="42"/>
      <c r="J219" s="42"/>
      <c r="K219" s="42"/>
      <c r="L219" s="42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11"/>
      <c r="B220" s="11"/>
      <c r="C220" s="11"/>
      <c r="D220" s="11"/>
      <c r="E220" s="11"/>
      <c r="F220" s="11"/>
      <c r="G220" s="42"/>
      <c r="H220" s="42"/>
      <c r="I220" s="42"/>
      <c r="J220" s="42"/>
      <c r="K220" s="42"/>
      <c r="L220" s="42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11"/>
      <c r="B221" s="11"/>
      <c r="C221" s="11"/>
      <c r="D221" s="11"/>
      <c r="E221" s="11"/>
      <c r="F221" s="11"/>
      <c r="G221" s="42"/>
      <c r="H221" s="42"/>
      <c r="I221" s="42"/>
      <c r="J221" s="42"/>
      <c r="K221" s="42"/>
      <c r="L221" s="42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11"/>
      <c r="B222" s="11"/>
      <c r="C222" s="11"/>
      <c r="D222" s="11"/>
      <c r="E222" s="11"/>
      <c r="F222" s="11"/>
      <c r="G222" s="42"/>
      <c r="H222" s="42"/>
      <c r="I222" s="42"/>
      <c r="J222" s="42"/>
      <c r="K222" s="42"/>
      <c r="L222" s="42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11"/>
      <c r="B223" s="11"/>
      <c r="C223" s="11"/>
      <c r="D223" s="11"/>
      <c r="E223" s="11"/>
      <c r="F223" s="11"/>
      <c r="G223" s="42"/>
      <c r="H223" s="42"/>
      <c r="I223" s="42"/>
      <c r="J223" s="42"/>
      <c r="K223" s="42"/>
      <c r="L223" s="42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11"/>
      <c r="B224" s="11"/>
      <c r="C224" s="11"/>
      <c r="D224" s="11"/>
      <c r="E224" s="11"/>
      <c r="F224" s="11"/>
      <c r="G224" s="42"/>
      <c r="H224" s="42"/>
      <c r="I224" s="42"/>
      <c r="J224" s="42"/>
      <c r="K224" s="42"/>
      <c r="L224" s="42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11"/>
      <c r="B225" s="11"/>
      <c r="C225" s="11"/>
      <c r="D225" s="11"/>
      <c r="E225" s="11"/>
      <c r="F225" s="11"/>
      <c r="G225" s="42"/>
      <c r="H225" s="42"/>
      <c r="I225" s="42"/>
      <c r="J225" s="42"/>
      <c r="K225" s="42"/>
      <c r="L225" s="42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11"/>
      <c r="B226" s="11"/>
      <c r="C226" s="11"/>
      <c r="D226" s="11"/>
      <c r="E226" s="11"/>
      <c r="F226" s="11"/>
      <c r="G226" s="42"/>
      <c r="H226" s="42"/>
      <c r="I226" s="42"/>
      <c r="J226" s="42"/>
      <c r="K226" s="42"/>
      <c r="L226" s="42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11"/>
      <c r="B227" s="11"/>
      <c r="C227" s="11"/>
      <c r="D227" s="11"/>
      <c r="E227" s="11"/>
      <c r="F227" s="11"/>
      <c r="G227" s="42"/>
      <c r="H227" s="42"/>
      <c r="I227" s="42"/>
      <c r="J227" s="42"/>
      <c r="K227" s="42"/>
      <c r="L227" s="42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11"/>
      <c r="B228" s="11"/>
      <c r="C228" s="11"/>
      <c r="D228" s="11"/>
      <c r="E228" s="11"/>
      <c r="F228" s="11"/>
      <c r="G228" s="42"/>
      <c r="H228" s="42"/>
      <c r="I228" s="42"/>
      <c r="J228" s="42"/>
      <c r="K228" s="42"/>
      <c r="L228" s="42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11"/>
      <c r="B229" s="11"/>
      <c r="C229" s="11"/>
      <c r="D229" s="11"/>
      <c r="E229" s="11"/>
      <c r="F229" s="11"/>
      <c r="G229" s="42"/>
      <c r="H229" s="42"/>
      <c r="I229" s="42"/>
      <c r="J229" s="42"/>
      <c r="K229" s="42"/>
      <c r="L229" s="42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11"/>
      <c r="B230" s="11"/>
      <c r="C230" s="11"/>
      <c r="D230" s="11"/>
      <c r="E230" s="11"/>
      <c r="F230" s="11"/>
      <c r="G230" s="42"/>
      <c r="H230" s="42"/>
      <c r="I230" s="42"/>
      <c r="J230" s="42"/>
      <c r="K230" s="42"/>
      <c r="L230" s="42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11"/>
      <c r="B231" s="11"/>
      <c r="C231" s="11"/>
      <c r="D231" s="11"/>
      <c r="E231" s="11"/>
      <c r="F231" s="11"/>
      <c r="G231" s="42"/>
      <c r="H231" s="42"/>
      <c r="I231" s="42"/>
      <c r="J231" s="42"/>
      <c r="K231" s="42"/>
      <c r="L231" s="42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11"/>
      <c r="B232" s="11"/>
      <c r="C232" s="11"/>
      <c r="D232" s="11"/>
      <c r="E232" s="11"/>
      <c r="F232" s="11"/>
      <c r="G232" s="42"/>
      <c r="H232" s="42"/>
      <c r="I232" s="42"/>
      <c r="J232" s="42"/>
      <c r="K232" s="42"/>
      <c r="L232" s="42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11"/>
      <c r="B233" s="11"/>
      <c r="C233" s="11"/>
      <c r="D233" s="11"/>
      <c r="E233" s="11"/>
      <c r="F233" s="11"/>
      <c r="G233" s="42"/>
      <c r="H233" s="42"/>
      <c r="I233" s="42"/>
      <c r="J233" s="42"/>
      <c r="K233" s="42"/>
      <c r="L233" s="42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11"/>
      <c r="B234" s="11"/>
      <c r="C234" s="11"/>
      <c r="D234" s="11"/>
      <c r="E234" s="11"/>
      <c r="F234" s="11"/>
      <c r="G234" s="42"/>
      <c r="H234" s="42"/>
      <c r="I234" s="42"/>
      <c r="J234" s="42"/>
      <c r="K234" s="42"/>
      <c r="L234" s="42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11"/>
      <c r="B235" s="11"/>
      <c r="C235" s="11"/>
      <c r="D235" s="11"/>
      <c r="E235" s="11"/>
      <c r="F235" s="11"/>
      <c r="G235" s="42"/>
      <c r="H235" s="42"/>
      <c r="I235" s="42"/>
      <c r="J235" s="42"/>
      <c r="K235" s="42"/>
      <c r="L235" s="42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11"/>
      <c r="B236" s="11"/>
      <c r="C236" s="11"/>
      <c r="D236" s="11"/>
      <c r="E236" s="11"/>
      <c r="F236" s="11"/>
      <c r="G236" s="42"/>
      <c r="H236" s="42"/>
      <c r="I236" s="42"/>
      <c r="J236" s="42"/>
      <c r="K236" s="42"/>
      <c r="L236" s="42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11"/>
      <c r="B237" s="11"/>
      <c r="C237" s="11"/>
      <c r="D237" s="11"/>
      <c r="E237" s="11"/>
      <c r="F237" s="11"/>
      <c r="G237" s="42"/>
      <c r="H237" s="42"/>
      <c r="I237" s="42"/>
      <c r="J237" s="42"/>
      <c r="K237" s="42"/>
      <c r="L237" s="42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11"/>
      <c r="B238" s="11"/>
      <c r="C238" s="11"/>
      <c r="D238" s="11"/>
      <c r="E238" s="11"/>
      <c r="F238" s="11"/>
      <c r="G238" s="42"/>
      <c r="H238" s="42"/>
      <c r="I238" s="42"/>
      <c r="J238" s="42"/>
      <c r="K238" s="42"/>
      <c r="L238" s="42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11"/>
      <c r="B239" s="11"/>
      <c r="C239" s="11"/>
      <c r="D239" s="11"/>
      <c r="E239" s="11"/>
      <c r="F239" s="11"/>
      <c r="G239" s="42"/>
      <c r="H239" s="42"/>
      <c r="I239" s="42"/>
      <c r="J239" s="42"/>
      <c r="K239" s="42"/>
      <c r="L239" s="42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11"/>
      <c r="B240" s="11"/>
      <c r="C240" s="11"/>
      <c r="D240" s="11"/>
      <c r="E240" s="11"/>
      <c r="F240" s="11"/>
      <c r="G240" s="42"/>
      <c r="H240" s="42"/>
      <c r="I240" s="42"/>
      <c r="J240" s="42"/>
      <c r="K240" s="42"/>
      <c r="L240" s="42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11"/>
      <c r="B241" s="11"/>
      <c r="C241" s="11"/>
      <c r="D241" s="11"/>
      <c r="E241" s="11"/>
      <c r="F241" s="11"/>
      <c r="G241" s="42"/>
      <c r="H241" s="42"/>
      <c r="I241" s="42"/>
      <c r="J241" s="42"/>
      <c r="K241" s="42"/>
      <c r="L241" s="42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11"/>
      <c r="B242" s="11"/>
      <c r="C242" s="11"/>
      <c r="D242" s="11"/>
      <c r="E242" s="11"/>
      <c r="F242" s="11"/>
      <c r="G242" s="42"/>
      <c r="H242" s="42"/>
      <c r="I242" s="42"/>
      <c r="J242" s="42"/>
      <c r="K242" s="42"/>
      <c r="L242" s="42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11"/>
      <c r="B243" s="11"/>
      <c r="C243" s="11"/>
      <c r="D243" s="11"/>
      <c r="E243" s="11"/>
      <c r="F243" s="11"/>
      <c r="G243" s="42"/>
      <c r="H243" s="42"/>
      <c r="I243" s="42"/>
      <c r="J243" s="42"/>
      <c r="K243" s="42"/>
      <c r="L243" s="42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11"/>
      <c r="B244" s="11"/>
      <c r="C244" s="11"/>
      <c r="D244" s="11"/>
      <c r="E244" s="11"/>
      <c r="F244" s="11"/>
      <c r="G244" s="42"/>
      <c r="H244" s="42"/>
      <c r="I244" s="42"/>
      <c r="J244" s="42"/>
      <c r="K244" s="42"/>
      <c r="L244" s="42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11"/>
      <c r="B245" s="11"/>
      <c r="C245" s="11"/>
      <c r="D245" s="11"/>
      <c r="E245" s="11"/>
      <c r="F245" s="11"/>
      <c r="G245" s="42"/>
      <c r="H245" s="42"/>
      <c r="I245" s="42"/>
      <c r="J245" s="42"/>
      <c r="K245" s="42"/>
      <c r="L245" s="42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11"/>
      <c r="B246" s="11"/>
      <c r="C246" s="11"/>
      <c r="D246" s="11"/>
      <c r="E246" s="11"/>
      <c r="F246" s="11"/>
      <c r="G246" s="42"/>
      <c r="H246" s="42"/>
      <c r="I246" s="42"/>
      <c r="J246" s="42"/>
      <c r="K246" s="42"/>
      <c r="L246" s="42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11"/>
      <c r="B247" s="11"/>
      <c r="C247" s="11"/>
      <c r="D247" s="11"/>
      <c r="E247" s="11"/>
      <c r="F247" s="11"/>
      <c r="G247" s="42"/>
      <c r="H247" s="42"/>
      <c r="I247" s="42"/>
      <c r="J247" s="42"/>
      <c r="K247" s="42"/>
      <c r="L247" s="42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11"/>
      <c r="B248" s="11"/>
      <c r="C248" s="11"/>
      <c r="D248" s="11"/>
      <c r="E248" s="11"/>
      <c r="F248" s="11"/>
      <c r="G248" s="42"/>
      <c r="H248" s="42"/>
      <c r="I248" s="42"/>
      <c r="J248" s="42"/>
      <c r="K248" s="42"/>
      <c r="L248" s="42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11"/>
      <c r="B249" s="11"/>
      <c r="C249" s="11"/>
      <c r="D249" s="11"/>
      <c r="E249" s="11"/>
      <c r="F249" s="11"/>
      <c r="G249" s="42"/>
      <c r="H249" s="42"/>
      <c r="I249" s="42"/>
      <c r="J249" s="42"/>
      <c r="K249" s="42"/>
      <c r="L249" s="42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11"/>
      <c r="B250" s="11"/>
      <c r="C250" s="11"/>
      <c r="D250" s="11"/>
      <c r="E250" s="11"/>
      <c r="F250" s="11"/>
      <c r="G250" s="42"/>
      <c r="H250" s="42"/>
      <c r="I250" s="42"/>
      <c r="J250" s="42"/>
      <c r="K250" s="42"/>
      <c r="L250" s="42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11"/>
      <c r="B251" s="11"/>
      <c r="C251" s="11"/>
      <c r="D251" s="11"/>
      <c r="E251" s="11"/>
      <c r="F251" s="11"/>
      <c r="G251" s="42"/>
      <c r="H251" s="42"/>
      <c r="I251" s="42"/>
      <c r="J251" s="42"/>
      <c r="K251" s="42"/>
      <c r="L251" s="42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11"/>
      <c r="B252" s="11"/>
      <c r="C252" s="11"/>
      <c r="D252" s="11"/>
      <c r="E252" s="11"/>
      <c r="F252" s="11"/>
      <c r="G252" s="42"/>
      <c r="H252" s="42"/>
      <c r="I252" s="42"/>
      <c r="J252" s="42"/>
      <c r="K252" s="42"/>
      <c r="L252" s="42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11"/>
      <c r="B253" s="11"/>
      <c r="C253" s="11"/>
      <c r="D253" s="11"/>
      <c r="E253" s="11"/>
      <c r="F253" s="11"/>
      <c r="G253" s="42"/>
      <c r="H253" s="42"/>
      <c r="I253" s="42"/>
      <c r="J253" s="42"/>
      <c r="K253" s="42"/>
      <c r="L253" s="42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11"/>
      <c r="B254" s="11"/>
      <c r="C254" s="11"/>
      <c r="D254" s="11"/>
      <c r="E254" s="11"/>
      <c r="F254" s="11"/>
      <c r="G254" s="42"/>
      <c r="H254" s="42"/>
      <c r="I254" s="42"/>
      <c r="J254" s="42"/>
      <c r="K254" s="42"/>
      <c r="L254" s="42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11"/>
      <c r="B255" s="11"/>
      <c r="C255" s="11"/>
      <c r="D255" s="11"/>
      <c r="E255" s="11"/>
      <c r="F255" s="11"/>
      <c r="G255" s="42"/>
      <c r="H255" s="42"/>
      <c r="I255" s="42"/>
      <c r="J255" s="42"/>
      <c r="K255" s="42"/>
      <c r="L255" s="42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11"/>
      <c r="B256" s="11"/>
      <c r="C256" s="11"/>
      <c r="D256" s="11"/>
      <c r="E256" s="11"/>
      <c r="F256" s="11"/>
      <c r="G256" s="42"/>
      <c r="H256" s="42"/>
      <c r="I256" s="42"/>
      <c r="J256" s="42"/>
      <c r="K256" s="42"/>
      <c r="L256" s="42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11"/>
      <c r="B257" s="11"/>
      <c r="C257" s="11"/>
      <c r="D257" s="11"/>
      <c r="E257" s="11"/>
      <c r="F257" s="11"/>
      <c r="G257" s="42"/>
      <c r="H257" s="42"/>
      <c r="I257" s="42"/>
      <c r="J257" s="42"/>
      <c r="K257" s="42"/>
      <c r="L257" s="42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11"/>
      <c r="B258" s="11"/>
      <c r="C258" s="11"/>
      <c r="D258" s="11"/>
      <c r="E258" s="11"/>
      <c r="F258" s="11"/>
      <c r="G258" s="42"/>
      <c r="H258" s="42"/>
      <c r="I258" s="42"/>
      <c r="J258" s="42"/>
      <c r="K258" s="42"/>
      <c r="L258" s="42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11"/>
      <c r="B259" s="11"/>
      <c r="C259" s="11"/>
      <c r="D259" s="11"/>
      <c r="E259" s="11"/>
      <c r="F259" s="11"/>
      <c r="G259" s="42"/>
      <c r="H259" s="42"/>
      <c r="I259" s="42"/>
      <c r="J259" s="42"/>
      <c r="K259" s="42"/>
      <c r="L259" s="42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11"/>
      <c r="B260" s="11"/>
      <c r="C260" s="11"/>
      <c r="D260" s="11"/>
      <c r="E260" s="11"/>
      <c r="F260" s="11"/>
      <c r="G260" s="42"/>
      <c r="H260" s="42"/>
      <c r="I260" s="42"/>
      <c r="J260" s="42"/>
      <c r="K260" s="42"/>
      <c r="L260" s="42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11"/>
      <c r="B261" s="11"/>
      <c r="C261" s="11"/>
      <c r="D261" s="11"/>
      <c r="E261" s="11"/>
      <c r="F261" s="11"/>
      <c r="G261" s="42"/>
      <c r="H261" s="42"/>
      <c r="I261" s="42"/>
      <c r="J261" s="42"/>
      <c r="K261" s="42"/>
      <c r="L261" s="42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11"/>
      <c r="B262" s="11"/>
      <c r="C262" s="11"/>
      <c r="D262" s="11"/>
      <c r="E262" s="11"/>
      <c r="F262" s="11"/>
      <c r="G262" s="42"/>
      <c r="H262" s="42"/>
      <c r="I262" s="42"/>
      <c r="J262" s="42"/>
      <c r="K262" s="42"/>
      <c r="L262" s="42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11"/>
      <c r="B263" s="11"/>
      <c r="C263" s="11"/>
      <c r="D263" s="11"/>
      <c r="E263" s="11"/>
      <c r="F263" s="11"/>
      <c r="G263" s="42"/>
      <c r="H263" s="42"/>
      <c r="I263" s="42"/>
      <c r="J263" s="42"/>
      <c r="K263" s="42"/>
      <c r="L263" s="42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11"/>
      <c r="B264" s="11"/>
      <c r="C264" s="11"/>
      <c r="D264" s="11"/>
      <c r="E264" s="11"/>
      <c r="F264" s="11"/>
      <c r="G264" s="42"/>
      <c r="H264" s="42"/>
      <c r="I264" s="42"/>
      <c r="J264" s="42"/>
      <c r="K264" s="42"/>
      <c r="L264" s="42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11"/>
      <c r="B265" s="11"/>
      <c r="C265" s="11"/>
      <c r="D265" s="11"/>
      <c r="E265" s="11"/>
      <c r="F265" s="11"/>
      <c r="G265" s="42"/>
      <c r="H265" s="42"/>
      <c r="I265" s="42"/>
      <c r="J265" s="42"/>
      <c r="K265" s="42"/>
      <c r="L265" s="42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11"/>
      <c r="B266" s="11"/>
      <c r="C266" s="11"/>
      <c r="D266" s="11"/>
      <c r="E266" s="11"/>
      <c r="F266" s="11"/>
      <c r="G266" s="42"/>
      <c r="H266" s="42"/>
      <c r="I266" s="42"/>
      <c r="J266" s="42"/>
      <c r="K266" s="42"/>
      <c r="L266" s="42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11"/>
      <c r="B267" s="11"/>
      <c r="C267" s="11"/>
      <c r="D267" s="11"/>
      <c r="E267" s="11"/>
      <c r="F267" s="11"/>
      <c r="G267" s="42"/>
      <c r="H267" s="42"/>
      <c r="I267" s="42"/>
      <c r="J267" s="42"/>
      <c r="K267" s="42"/>
      <c r="L267" s="42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11"/>
      <c r="B268" s="11"/>
      <c r="C268" s="11"/>
      <c r="D268" s="11"/>
      <c r="E268" s="11"/>
      <c r="F268" s="11"/>
      <c r="G268" s="42"/>
      <c r="H268" s="42"/>
      <c r="I268" s="42"/>
      <c r="J268" s="42"/>
      <c r="K268" s="42"/>
      <c r="L268" s="42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11"/>
      <c r="B269" s="11"/>
      <c r="C269" s="11"/>
      <c r="D269" s="11"/>
      <c r="E269" s="11"/>
      <c r="F269" s="11"/>
      <c r="G269" s="42"/>
      <c r="H269" s="42"/>
      <c r="I269" s="42"/>
      <c r="J269" s="42"/>
      <c r="K269" s="42"/>
      <c r="L269" s="42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11"/>
      <c r="B270" s="11"/>
      <c r="C270" s="11"/>
      <c r="D270" s="11"/>
      <c r="E270" s="11"/>
      <c r="F270" s="11"/>
      <c r="G270" s="42"/>
      <c r="H270" s="42"/>
      <c r="I270" s="42"/>
      <c r="J270" s="42"/>
      <c r="K270" s="42"/>
      <c r="L270" s="42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11"/>
      <c r="B271" s="11"/>
      <c r="C271" s="11"/>
      <c r="D271" s="11"/>
      <c r="E271" s="11"/>
      <c r="F271" s="11"/>
      <c r="G271" s="42"/>
      <c r="H271" s="42"/>
      <c r="I271" s="42"/>
      <c r="J271" s="42"/>
      <c r="K271" s="42"/>
      <c r="L271" s="42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11"/>
      <c r="B272" s="11"/>
      <c r="C272" s="11"/>
      <c r="D272" s="11"/>
      <c r="E272" s="11"/>
      <c r="F272" s="11"/>
      <c r="G272" s="42"/>
      <c r="H272" s="42"/>
      <c r="I272" s="42"/>
      <c r="J272" s="42"/>
      <c r="K272" s="42"/>
      <c r="L272" s="42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11"/>
      <c r="B273" s="11"/>
      <c r="C273" s="11"/>
      <c r="D273" s="11"/>
      <c r="E273" s="11"/>
      <c r="F273" s="11"/>
      <c r="G273" s="42"/>
      <c r="H273" s="42"/>
      <c r="I273" s="42"/>
      <c r="J273" s="42"/>
      <c r="K273" s="42"/>
      <c r="L273" s="42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11"/>
      <c r="B274" s="11"/>
      <c r="C274" s="11"/>
      <c r="D274" s="11"/>
      <c r="E274" s="11"/>
      <c r="F274" s="11"/>
      <c r="G274" s="42"/>
      <c r="H274" s="42"/>
      <c r="I274" s="42"/>
      <c r="J274" s="42"/>
      <c r="K274" s="42"/>
      <c r="L274" s="42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11"/>
      <c r="B275" s="11"/>
      <c r="C275" s="11"/>
      <c r="D275" s="11"/>
      <c r="E275" s="11"/>
      <c r="F275" s="11"/>
      <c r="G275" s="42"/>
      <c r="H275" s="42"/>
      <c r="I275" s="42"/>
      <c r="J275" s="42"/>
      <c r="K275" s="42"/>
      <c r="L275" s="42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11"/>
      <c r="B276" s="11"/>
      <c r="C276" s="11"/>
      <c r="D276" s="11"/>
      <c r="E276" s="11"/>
      <c r="F276" s="11"/>
      <c r="G276" s="42"/>
      <c r="H276" s="42"/>
      <c r="I276" s="42"/>
      <c r="J276" s="42"/>
      <c r="K276" s="42"/>
      <c r="L276" s="42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11"/>
      <c r="B277" s="11"/>
      <c r="C277" s="11"/>
      <c r="D277" s="11"/>
      <c r="E277" s="11"/>
      <c r="F277" s="11"/>
      <c r="G277" s="42"/>
      <c r="H277" s="42"/>
      <c r="I277" s="42"/>
      <c r="J277" s="42"/>
      <c r="K277" s="42"/>
      <c r="L277" s="42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11"/>
      <c r="B278" s="11"/>
      <c r="C278" s="11"/>
      <c r="D278" s="11"/>
      <c r="E278" s="11"/>
      <c r="F278" s="11"/>
      <c r="G278" s="42"/>
      <c r="H278" s="42"/>
      <c r="I278" s="42"/>
      <c r="J278" s="42"/>
      <c r="K278" s="42"/>
      <c r="L278" s="42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11"/>
      <c r="B279" s="11"/>
      <c r="C279" s="11"/>
      <c r="D279" s="11"/>
      <c r="E279" s="11"/>
      <c r="F279" s="11"/>
      <c r="G279" s="42"/>
      <c r="H279" s="42"/>
      <c r="I279" s="42"/>
      <c r="J279" s="42"/>
      <c r="K279" s="42"/>
      <c r="L279" s="42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11"/>
      <c r="B280" s="11"/>
      <c r="C280" s="11"/>
      <c r="D280" s="11"/>
      <c r="E280" s="11"/>
      <c r="F280" s="11"/>
      <c r="G280" s="42"/>
      <c r="H280" s="42"/>
      <c r="I280" s="42"/>
      <c r="J280" s="42"/>
      <c r="K280" s="42"/>
      <c r="L280" s="42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11"/>
      <c r="B281" s="11"/>
      <c r="C281" s="11"/>
      <c r="D281" s="11"/>
      <c r="E281" s="11"/>
      <c r="F281" s="11"/>
      <c r="G281" s="42"/>
      <c r="H281" s="42"/>
      <c r="I281" s="42"/>
      <c r="J281" s="42"/>
      <c r="K281" s="42"/>
      <c r="L281" s="42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11"/>
      <c r="B282" s="11"/>
      <c r="C282" s="11"/>
      <c r="D282" s="11"/>
      <c r="E282" s="11"/>
      <c r="F282" s="11"/>
      <c r="G282" s="42"/>
      <c r="H282" s="42"/>
      <c r="I282" s="42"/>
      <c r="J282" s="42"/>
      <c r="K282" s="42"/>
      <c r="L282" s="42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11"/>
      <c r="B283" s="11"/>
      <c r="C283" s="11"/>
      <c r="D283" s="11"/>
      <c r="E283" s="11"/>
      <c r="F283" s="11"/>
      <c r="G283" s="42"/>
      <c r="H283" s="42"/>
      <c r="I283" s="42"/>
      <c r="J283" s="42"/>
      <c r="K283" s="42"/>
      <c r="L283" s="42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11"/>
      <c r="B284" s="11"/>
      <c r="C284" s="11"/>
      <c r="D284" s="11"/>
      <c r="E284" s="11"/>
      <c r="F284" s="11"/>
      <c r="G284" s="42"/>
      <c r="H284" s="42"/>
      <c r="I284" s="42"/>
      <c r="J284" s="42"/>
      <c r="K284" s="42"/>
      <c r="L284" s="42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11"/>
      <c r="B285" s="11"/>
      <c r="C285" s="11"/>
      <c r="D285" s="11"/>
      <c r="E285" s="11"/>
      <c r="F285" s="11"/>
      <c r="G285" s="42"/>
      <c r="H285" s="42"/>
      <c r="I285" s="42"/>
      <c r="J285" s="42"/>
      <c r="K285" s="42"/>
      <c r="L285" s="42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11"/>
      <c r="B286" s="11"/>
      <c r="C286" s="11"/>
      <c r="D286" s="11"/>
      <c r="E286" s="11"/>
      <c r="F286" s="11"/>
      <c r="G286" s="42"/>
      <c r="H286" s="42"/>
      <c r="I286" s="42"/>
      <c r="J286" s="42"/>
      <c r="K286" s="42"/>
      <c r="L286" s="42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11"/>
      <c r="B287" s="11"/>
      <c r="C287" s="11"/>
      <c r="D287" s="11"/>
      <c r="E287" s="11"/>
      <c r="F287" s="11"/>
      <c r="G287" s="42"/>
      <c r="H287" s="42"/>
      <c r="I287" s="42"/>
      <c r="J287" s="42"/>
      <c r="K287" s="42"/>
      <c r="L287" s="42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11"/>
      <c r="B288" s="11"/>
      <c r="C288" s="11"/>
      <c r="D288" s="11"/>
      <c r="E288" s="11"/>
      <c r="F288" s="11"/>
      <c r="G288" s="42"/>
      <c r="H288" s="42"/>
      <c r="I288" s="42"/>
      <c r="J288" s="42"/>
      <c r="K288" s="42"/>
      <c r="L288" s="42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11"/>
      <c r="B289" s="11"/>
      <c r="C289" s="11"/>
      <c r="D289" s="11"/>
      <c r="E289" s="11"/>
      <c r="F289" s="11"/>
      <c r="G289" s="42"/>
      <c r="H289" s="42"/>
      <c r="I289" s="42"/>
      <c r="J289" s="42"/>
      <c r="K289" s="42"/>
      <c r="L289" s="42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11"/>
      <c r="B290" s="11"/>
      <c r="C290" s="11"/>
      <c r="D290" s="11"/>
      <c r="E290" s="11"/>
      <c r="F290" s="11"/>
      <c r="G290" s="42"/>
      <c r="H290" s="42"/>
      <c r="I290" s="42"/>
      <c r="J290" s="42"/>
      <c r="K290" s="42"/>
      <c r="L290" s="42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11"/>
      <c r="B291" s="11"/>
      <c r="C291" s="11"/>
      <c r="D291" s="11"/>
      <c r="E291" s="11"/>
      <c r="F291" s="11"/>
      <c r="G291" s="42"/>
      <c r="H291" s="42"/>
      <c r="I291" s="42"/>
      <c r="J291" s="42"/>
      <c r="K291" s="42"/>
      <c r="L291" s="42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11"/>
      <c r="B292" s="11"/>
      <c r="C292" s="11"/>
      <c r="D292" s="11"/>
      <c r="E292" s="11"/>
      <c r="F292" s="11"/>
      <c r="G292" s="42"/>
      <c r="H292" s="42"/>
      <c r="I292" s="42"/>
      <c r="J292" s="42"/>
      <c r="K292" s="42"/>
      <c r="L292" s="42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11"/>
      <c r="B293" s="11"/>
      <c r="C293" s="11"/>
      <c r="D293" s="11"/>
      <c r="E293" s="11"/>
      <c r="F293" s="11"/>
      <c r="G293" s="42"/>
      <c r="H293" s="42"/>
      <c r="I293" s="42"/>
      <c r="J293" s="42"/>
      <c r="K293" s="42"/>
      <c r="L293" s="42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11"/>
      <c r="B294" s="11"/>
      <c r="C294" s="11"/>
      <c r="D294" s="11"/>
      <c r="E294" s="11"/>
      <c r="F294" s="11"/>
      <c r="G294" s="42"/>
      <c r="H294" s="42"/>
      <c r="I294" s="42"/>
      <c r="J294" s="42"/>
      <c r="K294" s="42"/>
      <c r="L294" s="42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11"/>
      <c r="B295" s="11"/>
      <c r="C295" s="11"/>
      <c r="D295" s="11"/>
      <c r="E295" s="11"/>
      <c r="F295" s="11"/>
      <c r="G295" s="42"/>
      <c r="H295" s="42"/>
      <c r="I295" s="42"/>
      <c r="J295" s="42"/>
      <c r="K295" s="42"/>
      <c r="L295" s="42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11"/>
      <c r="B296" s="11"/>
      <c r="C296" s="11"/>
      <c r="D296" s="11"/>
      <c r="E296" s="11"/>
      <c r="F296" s="11"/>
      <c r="G296" s="42"/>
      <c r="H296" s="42"/>
      <c r="I296" s="42"/>
      <c r="J296" s="42"/>
      <c r="K296" s="42"/>
      <c r="L296" s="42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11"/>
      <c r="B297" s="11"/>
      <c r="C297" s="11"/>
      <c r="D297" s="11"/>
      <c r="E297" s="11"/>
      <c r="F297" s="11"/>
      <c r="G297" s="42"/>
      <c r="H297" s="42"/>
      <c r="I297" s="42"/>
      <c r="J297" s="42"/>
      <c r="K297" s="42"/>
      <c r="L297" s="42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11"/>
      <c r="B298" s="11"/>
      <c r="C298" s="11"/>
      <c r="D298" s="11"/>
      <c r="E298" s="11"/>
      <c r="F298" s="11"/>
      <c r="G298" s="42"/>
      <c r="H298" s="42"/>
      <c r="I298" s="42"/>
      <c r="J298" s="42"/>
      <c r="K298" s="42"/>
      <c r="L298" s="42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11"/>
      <c r="B299" s="11"/>
      <c r="C299" s="11"/>
      <c r="D299" s="11"/>
      <c r="E299" s="11"/>
      <c r="F299" s="11"/>
      <c r="G299" s="42"/>
      <c r="H299" s="42"/>
      <c r="I299" s="42"/>
      <c r="J299" s="42"/>
      <c r="K299" s="42"/>
      <c r="L299" s="42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11"/>
      <c r="B300" s="11"/>
      <c r="C300" s="11"/>
      <c r="D300" s="11"/>
      <c r="E300" s="11"/>
      <c r="F300" s="11"/>
      <c r="G300" s="42"/>
      <c r="H300" s="42"/>
      <c r="I300" s="42"/>
      <c r="J300" s="42"/>
      <c r="K300" s="42"/>
      <c r="L300" s="42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11"/>
      <c r="B301" s="11"/>
      <c r="C301" s="11"/>
      <c r="D301" s="11"/>
      <c r="E301" s="11"/>
      <c r="F301" s="11"/>
      <c r="G301" s="42"/>
      <c r="H301" s="42"/>
      <c r="I301" s="42"/>
      <c r="J301" s="42"/>
      <c r="K301" s="42"/>
      <c r="L301" s="42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11"/>
      <c r="B302" s="11"/>
      <c r="C302" s="11"/>
      <c r="D302" s="11"/>
      <c r="E302" s="11"/>
      <c r="F302" s="11"/>
      <c r="G302" s="42"/>
      <c r="H302" s="42"/>
      <c r="I302" s="42"/>
      <c r="J302" s="42"/>
      <c r="K302" s="42"/>
      <c r="L302" s="42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11"/>
      <c r="B303" s="11"/>
      <c r="C303" s="11"/>
      <c r="D303" s="11"/>
      <c r="E303" s="11"/>
      <c r="F303" s="11"/>
      <c r="G303" s="42"/>
      <c r="H303" s="42"/>
      <c r="I303" s="42"/>
      <c r="J303" s="42"/>
      <c r="K303" s="42"/>
      <c r="L303" s="42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11"/>
      <c r="B304" s="11"/>
      <c r="C304" s="11"/>
      <c r="D304" s="11"/>
      <c r="E304" s="11"/>
      <c r="F304" s="11"/>
      <c r="G304" s="42"/>
      <c r="H304" s="42"/>
      <c r="I304" s="42"/>
      <c r="J304" s="42"/>
      <c r="K304" s="42"/>
      <c r="L304" s="42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11"/>
      <c r="B305" s="11"/>
      <c r="C305" s="11"/>
      <c r="D305" s="11"/>
      <c r="E305" s="11"/>
      <c r="F305" s="11"/>
      <c r="G305" s="42"/>
      <c r="H305" s="42"/>
      <c r="I305" s="42"/>
      <c r="J305" s="42"/>
      <c r="K305" s="42"/>
      <c r="L305" s="42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11"/>
      <c r="B306" s="11"/>
      <c r="C306" s="11"/>
      <c r="D306" s="11"/>
      <c r="E306" s="11"/>
      <c r="F306" s="11"/>
      <c r="G306" s="42"/>
      <c r="H306" s="42"/>
      <c r="I306" s="42"/>
      <c r="J306" s="42"/>
      <c r="K306" s="42"/>
      <c r="L306" s="42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11"/>
      <c r="B307" s="11"/>
      <c r="C307" s="11"/>
      <c r="D307" s="11"/>
      <c r="E307" s="11"/>
      <c r="F307" s="11"/>
      <c r="G307" s="42"/>
      <c r="H307" s="42"/>
      <c r="I307" s="42"/>
      <c r="J307" s="42"/>
      <c r="K307" s="42"/>
      <c r="L307" s="42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11"/>
      <c r="B308" s="11"/>
      <c r="C308" s="11"/>
      <c r="D308" s="11"/>
      <c r="E308" s="11"/>
      <c r="F308" s="11"/>
      <c r="G308" s="42"/>
      <c r="H308" s="42"/>
      <c r="I308" s="42"/>
      <c r="J308" s="42"/>
      <c r="K308" s="42"/>
      <c r="L308" s="42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11"/>
      <c r="B309" s="11"/>
      <c r="C309" s="11"/>
      <c r="D309" s="11"/>
      <c r="E309" s="11"/>
      <c r="F309" s="11"/>
      <c r="G309" s="42"/>
      <c r="H309" s="42"/>
      <c r="I309" s="42"/>
      <c r="J309" s="42"/>
      <c r="K309" s="42"/>
      <c r="L309" s="42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11"/>
      <c r="B310" s="11"/>
      <c r="C310" s="11"/>
      <c r="D310" s="11"/>
      <c r="E310" s="11"/>
      <c r="F310" s="11"/>
      <c r="G310" s="42"/>
      <c r="H310" s="42"/>
      <c r="I310" s="42"/>
      <c r="J310" s="42"/>
      <c r="K310" s="42"/>
      <c r="L310" s="42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11"/>
      <c r="B311" s="11"/>
      <c r="C311" s="11"/>
      <c r="D311" s="11"/>
      <c r="E311" s="11"/>
      <c r="F311" s="11"/>
      <c r="G311" s="42"/>
      <c r="H311" s="42"/>
      <c r="I311" s="42"/>
      <c r="J311" s="42"/>
      <c r="K311" s="42"/>
      <c r="L311" s="42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11"/>
      <c r="B312" s="11"/>
      <c r="C312" s="11"/>
      <c r="D312" s="11"/>
      <c r="E312" s="11"/>
      <c r="F312" s="11"/>
      <c r="G312" s="42"/>
      <c r="H312" s="42"/>
      <c r="I312" s="42"/>
      <c r="J312" s="42"/>
      <c r="K312" s="42"/>
      <c r="L312" s="42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11"/>
      <c r="B313" s="11"/>
      <c r="C313" s="11"/>
      <c r="D313" s="11"/>
      <c r="E313" s="11"/>
      <c r="F313" s="11"/>
      <c r="G313" s="42"/>
      <c r="H313" s="42"/>
      <c r="I313" s="42"/>
      <c r="J313" s="42"/>
      <c r="K313" s="42"/>
      <c r="L313" s="42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11"/>
      <c r="B314" s="11"/>
      <c r="C314" s="11"/>
      <c r="D314" s="11"/>
      <c r="E314" s="11"/>
      <c r="F314" s="11"/>
      <c r="G314" s="42"/>
      <c r="H314" s="42"/>
      <c r="I314" s="42"/>
      <c r="J314" s="42"/>
      <c r="K314" s="42"/>
      <c r="L314" s="42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11"/>
      <c r="B315" s="11"/>
      <c r="C315" s="11"/>
      <c r="D315" s="11"/>
      <c r="E315" s="11"/>
      <c r="F315" s="11"/>
      <c r="G315" s="42"/>
      <c r="H315" s="42"/>
      <c r="I315" s="42"/>
      <c r="J315" s="42"/>
      <c r="K315" s="42"/>
      <c r="L315" s="42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11"/>
      <c r="B316" s="11"/>
      <c r="C316" s="11"/>
      <c r="D316" s="11"/>
      <c r="E316" s="11"/>
      <c r="F316" s="11"/>
      <c r="G316" s="42"/>
      <c r="H316" s="42"/>
      <c r="I316" s="42"/>
      <c r="J316" s="42"/>
      <c r="K316" s="42"/>
      <c r="L316" s="42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11"/>
      <c r="B317" s="11"/>
      <c r="C317" s="11"/>
      <c r="D317" s="11"/>
      <c r="E317" s="11"/>
      <c r="F317" s="11"/>
      <c r="G317" s="42"/>
      <c r="H317" s="42"/>
      <c r="I317" s="42"/>
      <c r="J317" s="42"/>
      <c r="K317" s="42"/>
      <c r="L317" s="42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11"/>
      <c r="B318" s="11"/>
      <c r="C318" s="11"/>
      <c r="D318" s="11"/>
      <c r="E318" s="11"/>
      <c r="F318" s="11"/>
      <c r="G318" s="42"/>
      <c r="H318" s="42"/>
      <c r="I318" s="42"/>
      <c r="J318" s="42"/>
      <c r="K318" s="42"/>
      <c r="L318" s="42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11"/>
      <c r="B319" s="11"/>
      <c r="C319" s="11"/>
      <c r="D319" s="11"/>
      <c r="E319" s="11"/>
      <c r="F319" s="11"/>
      <c r="G319" s="42"/>
      <c r="H319" s="42"/>
      <c r="I319" s="42"/>
      <c r="J319" s="42"/>
      <c r="K319" s="42"/>
      <c r="L319" s="42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11"/>
      <c r="B320" s="11"/>
      <c r="C320" s="11"/>
      <c r="D320" s="11"/>
      <c r="E320" s="11"/>
      <c r="F320" s="11"/>
      <c r="G320" s="42"/>
      <c r="H320" s="42"/>
      <c r="I320" s="42"/>
      <c r="J320" s="42"/>
      <c r="K320" s="42"/>
      <c r="L320" s="42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11"/>
      <c r="B321" s="11"/>
      <c r="C321" s="11"/>
      <c r="D321" s="11"/>
      <c r="E321" s="11"/>
      <c r="F321" s="11"/>
      <c r="G321" s="42"/>
      <c r="H321" s="42"/>
      <c r="I321" s="42"/>
      <c r="J321" s="42"/>
      <c r="K321" s="42"/>
      <c r="L321" s="42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11"/>
      <c r="B322" s="11"/>
      <c r="C322" s="11"/>
      <c r="D322" s="11"/>
      <c r="E322" s="11"/>
      <c r="F322" s="11"/>
      <c r="G322" s="42"/>
      <c r="H322" s="42"/>
      <c r="I322" s="42"/>
      <c r="J322" s="42"/>
      <c r="K322" s="42"/>
      <c r="L322" s="42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11"/>
      <c r="B323" s="11"/>
      <c r="C323" s="11"/>
      <c r="D323" s="11"/>
      <c r="E323" s="11"/>
      <c r="F323" s="11"/>
      <c r="G323" s="42"/>
      <c r="H323" s="42"/>
      <c r="I323" s="42"/>
      <c r="J323" s="42"/>
      <c r="K323" s="42"/>
      <c r="L323" s="42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11"/>
      <c r="B324" s="11"/>
      <c r="C324" s="11"/>
      <c r="D324" s="11"/>
      <c r="E324" s="11"/>
      <c r="F324" s="11"/>
      <c r="G324" s="42"/>
      <c r="H324" s="42"/>
      <c r="I324" s="42"/>
      <c r="J324" s="42"/>
      <c r="K324" s="42"/>
      <c r="L324" s="42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11"/>
      <c r="B325" s="11"/>
      <c r="C325" s="11"/>
      <c r="D325" s="11"/>
      <c r="E325" s="11"/>
      <c r="F325" s="11"/>
      <c r="G325" s="42"/>
      <c r="H325" s="42"/>
      <c r="I325" s="42"/>
      <c r="J325" s="42"/>
      <c r="K325" s="42"/>
      <c r="L325" s="42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11"/>
      <c r="B326" s="11"/>
      <c r="C326" s="11"/>
      <c r="D326" s="11"/>
      <c r="E326" s="11"/>
      <c r="F326" s="11"/>
      <c r="G326" s="42"/>
      <c r="H326" s="42"/>
      <c r="I326" s="42"/>
      <c r="J326" s="42"/>
      <c r="K326" s="42"/>
      <c r="L326" s="42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11"/>
      <c r="B327" s="11"/>
      <c r="C327" s="11"/>
      <c r="D327" s="11"/>
      <c r="E327" s="11"/>
      <c r="F327" s="11"/>
      <c r="G327" s="42"/>
      <c r="H327" s="42"/>
      <c r="I327" s="42"/>
      <c r="J327" s="42"/>
      <c r="K327" s="42"/>
      <c r="L327" s="42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11"/>
      <c r="B328" s="11"/>
      <c r="C328" s="11"/>
      <c r="D328" s="11"/>
      <c r="E328" s="11"/>
      <c r="F328" s="11"/>
      <c r="G328" s="42"/>
      <c r="H328" s="42"/>
      <c r="I328" s="42"/>
      <c r="J328" s="42"/>
      <c r="K328" s="42"/>
      <c r="L328" s="42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11"/>
      <c r="B329" s="11"/>
      <c r="C329" s="11"/>
      <c r="D329" s="11"/>
      <c r="E329" s="11"/>
      <c r="F329" s="11"/>
      <c r="G329" s="42"/>
      <c r="H329" s="42"/>
      <c r="I329" s="42"/>
      <c r="J329" s="42"/>
      <c r="K329" s="42"/>
      <c r="L329" s="42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11"/>
      <c r="B330" s="11"/>
      <c r="C330" s="11"/>
      <c r="D330" s="11"/>
      <c r="E330" s="11"/>
      <c r="F330" s="11"/>
      <c r="G330" s="42"/>
      <c r="H330" s="42"/>
      <c r="I330" s="42"/>
      <c r="J330" s="42"/>
      <c r="K330" s="42"/>
      <c r="L330" s="42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11"/>
      <c r="B331" s="11"/>
      <c r="C331" s="11"/>
      <c r="D331" s="11"/>
      <c r="E331" s="11"/>
      <c r="F331" s="11"/>
      <c r="G331" s="42"/>
      <c r="H331" s="42"/>
      <c r="I331" s="42"/>
      <c r="J331" s="42"/>
      <c r="K331" s="42"/>
      <c r="L331" s="42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11"/>
      <c r="B332" s="11"/>
      <c r="C332" s="11"/>
      <c r="D332" s="11"/>
      <c r="E332" s="11"/>
      <c r="F332" s="11"/>
      <c r="G332" s="42"/>
      <c r="H332" s="42"/>
      <c r="I332" s="42"/>
      <c r="J332" s="42"/>
      <c r="K332" s="42"/>
      <c r="L332" s="42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11"/>
      <c r="B333" s="11"/>
      <c r="C333" s="11"/>
      <c r="D333" s="11"/>
      <c r="E333" s="11"/>
      <c r="F333" s="11"/>
      <c r="G333" s="42"/>
      <c r="H333" s="42"/>
      <c r="I333" s="42"/>
      <c r="J333" s="42"/>
      <c r="K333" s="42"/>
      <c r="L333" s="42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11"/>
      <c r="B334" s="11"/>
      <c r="C334" s="11"/>
      <c r="D334" s="11"/>
      <c r="E334" s="11"/>
      <c r="F334" s="11"/>
      <c r="G334" s="42"/>
      <c r="H334" s="42"/>
      <c r="I334" s="42"/>
      <c r="J334" s="42"/>
      <c r="K334" s="42"/>
      <c r="L334" s="42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11"/>
      <c r="B335" s="11"/>
      <c r="C335" s="11"/>
      <c r="D335" s="11"/>
      <c r="E335" s="11"/>
      <c r="F335" s="11"/>
      <c r="G335" s="42"/>
      <c r="H335" s="42"/>
      <c r="I335" s="42"/>
      <c r="J335" s="42"/>
      <c r="K335" s="42"/>
      <c r="L335" s="42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11"/>
      <c r="B336" s="11"/>
      <c r="C336" s="11"/>
      <c r="D336" s="11"/>
      <c r="E336" s="11"/>
      <c r="F336" s="11"/>
      <c r="G336" s="42"/>
      <c r="H336" s="42"/>
      <c r="I336" s="42"/>
      <c r="J336" s="42"/>
      <c r="K336" s="42"/>
      <c r="L336" s="42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11"/>
      <c r="B337" s="11"/>
      <c r="C337" s="11"/>
      <c r="D337" s="11"/>
      <c r="E337" s="11"/>
      <c r="F337" s="11"/>
      <c r="G337" s="42"/>
      <c r="H337" s="42"/>
      <c r="I337" s="42"/>
      <c r="J337" s="42"/>
      <c r="K337" s="42"/>
      <c r="L337" s="42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11"/>
      <c r="B338" s="11"/>
      <c r="C338" s="11"/>
      <c r="D338" s="11"/>
      <c r="E338" s="11"/>
      <c r="F338" s="11"/>
      <c r="G338" s="42"/>
      <c r="H338" s="42"/>
      <c r="I338" s="42"/>
      <c r="J338" s="42"/>
      <c r="K338" s="42"/>
      <c r="L338" s="42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11"/>
      <c r="B339" s="11"/>
      <c r="C339" s="11"/>
      <c r="D339" s="11"/>
      <c r="E339" s="11"/>
      <c r="F339" s="11"/>
      <c r="G339" s="42"/>
      <c r="H339" s="42"/>
      <c r="I339" s="42"/>
      <c r="J339" s="42"/>
      <c r="K339" s="42"/>
      <c r="L339" s="42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11"/>
      <c r="B340" s="11"/>
      <c r="C340" s="11"/>
      <c r="D340" s="11"/>
      <c r="E340" s="11"/>
      <c r="F340" s="11"/>
      <c r="G340" s="42"/>
      <c r="H340" s="42"/>
      <c r="I340" s="42"/>
      <c r="J340" s="42"/>
      <c r="K340" s="42"/>
      <c r="L340" s="42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11"/>
      <c r="B341" s="11"/>
      <c r="C341" s="11"/>
      <c r="D341" s="11"/>
      <c r="E341" s="11"/>
      <c r="F341" s="11"/>
      <c r="G341" s="42"/>
      <c r="H341" s="42"/>
      <c r="I341" s="42"/>
      <c r="J341" s="42"/>
      <c r="K341" s="42"/>
      <c r="L341" s="42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11"/>
      <c r="B342" s="11"/>
      <c r="C342" s="11"/>
      <c r="D342" s="11"/>
      <c r="E342" s="11"/>
      <c r="F342" s="11"/>
      <c r="G342" s="42"/>
      <c r="H342" s="42"/>
      <c r="I342" s="42"/>
      <c r="J342" s="42"/>
      <c r="K342" s="42"/>
      <c r="L342" s="42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11"/>
      <c r="B343" s="11"/>
      <c r="C343" s="11"/>
      <c r="D343" s="11"/>
      <c r="E343" s="11"/>
      <c r="F343" s="11"/>
      <c r="G343" s="42"/>
      <c r="H343" s="42"/>
      <c r="I343" s="42"/>
      <c r="J343" s="42"/>
      <c r="K343" s="42"/>
      <c r="L343" s="42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11"/>
      <c r="B344" s="11"/>
      <c r="C344" s="11"/>
      <c r="D344" s="11"/>
      <c r="E344" s="11"/>
      <c r="F344" s="11"/>
      <c r="G344" s="42"/>
      <c r="H344" s="42"/>
      <c r="I344" s="42"/>
      <c r="J344" s="42"/>
      <c r="K344" s="42"/>
      <c r="L344" s="42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11"/>
      <c r="B345" s="11"/>
      <c r="C345" s="11"/>
      <c r="D345" s="11"/>
      <c r="E345" s="11"/>
      <c r="F345" s="11"/>
      <c r="G345" s="42"/>
      <c r="H345" s="42"/>
      <c r="I345" s="42"/>
      <c r="J345" s="42"/>
      <c r="K345" s="42"/>
      <c r="L345" s="42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11"/>
      <c r="B346" s="11"/>
      <c r="C346" s="11"/>
      <c r="D346" s="11"/>
      <c r="E346" s="11"/>
      <c r="F346" s="11"/>
      <c r="G346" s="42"/>
      <c r="H346" s="42"/>
      <c r="I346" s="42"/>
      <c r="J346" s="42"/>
      <c r="K346" s="42"/>
      <c r="L346" s="42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11"/>
      <c r="B347" s="11"/>
      <c r="C347" s="11"/>
      <c r="D347" s="11"/>
      <c r="E347" s="11"/>
      <c r="F347" s="11"/>
      <c r="G347" s="42"/>
      <c r="H347" s="42"/>
      <c r="I347" s="42"/>
      <c r="J347" s="42"/>
      <c r="K347" s="42"/>
      <c r="L347" s="42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11"/>
      <c r="B348" s="11"/>
      <c r="C348" s="11"/>
      <c r="D348" s="11"/>
      <c r="E348" s="11"/>
      <c r="F348" s="11"/>
      <c r="G348" s="42"/>
      <c r="H348" s="42"/>
      <c r="I348" s="42"/>
      <c r="J348" s="42"/>
      <c r="K348" s="42"/>
      <c r="L348" s="42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11"/>
      <c r="B349" s="11"/>
      <c r="C349" s="11"/>
      <c r="D349" s="11"/>
      <c r="E349" s="11"/>
      <c r="F349" s="11"/>
      <c r="G349" s="42"/>
      <c r="H349" s="42"/>
      <c r="I349" s="42"/>
      <c r="J349" s="42"/>
      <c r="K349" s="42"/>
      <c r="L349" s="42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11"/>
      <c r="B350" s="11"/>
      <c r="C350" s="11"/>
      <c r="D350" s="11"/>
      <c r="E350" s="11"/>
      <c r="F350" s="11"/>
      <c r="G350" s="42"/>
      <c r="H350" s="42"/>
      <c r="I350" s="42"/>
      <c r="J350" s="42"/>
      <c r="K350" s="42"/>
      <c r="L350" s="42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11"/>
      <c r="B351" s="11"/>
      <c r="C351" s="11"/>
      <c r="D351" s="11"/>
      <c r="E351" s="11"/>
      <c r="F351" s="11"/>
      <c r="G351" s="42"/>
      <c r="H351" s="42"/>
      <c r="I351" s="42"/>
      <c r="J351" s="42"/>
      <c r="K351" s="42"/>
      <c r="L351" s="42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11"/>
      <c r="B352" s="11"/>
      <c r="C352" s="11"/>
      <c r="D352" s="11"/>
      <c r="E352" s="11"/>
      <c r="F352" s="11"/>
      <c r="G352" s="42"/>
      <c r="H352" s="42"/>
      <c r="I352" s="42"/>
      <c r="J352" s="42"/>
      <c r="K352" s="42"/>
      <c r="L352" s="42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11"/>
      <c r="B353" s="11"/>
      <c r="C353" s="11"/>
      <c r="D353" s="11"/>
      <c r="E353" s="11"/>
      <c r="F353" s="11"/>
      <c r="G353" s="42"/>
      <c r="H353" s="42"/>
      <c r="I353" s="42"/>
      <c r="J353" s="42"/>
      <c r="K353" s="42"/>
      <c r="L353" s="42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11"/>
      <c r="B354" s="11"/>
      <c r="C354" s="11"/>
      <c r="D354" s="11"/>
      <c r="E354" s="11"/>
      <c r="F354" s="11"/>
      <c r="G354" s="42"/>
      <c r="H354" s="42"/>
      <c r="I354" s="42"/>
      <c r="J354" s="42"/>
      <c r="K354" s="42"/>
      <c r="L354" s="42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11"/>
      <c r="B355" s="11"/>
      <c r="C355" s="11"/>
      <c r="D355" s="11"/>
      <c r="E355" s="11"/>
      <c r="F355" s="11"/>
      <c r="G355" s="42"/>
      <c r="H355" s="42"/>
      <c r="I355" s="42"/>
      <c r="J355" s="42"/>
      <c r="K355" s="42"/>
      <c r="L355" s="42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11"/>
      <c r="B356" s="11"/>
      <c r="C356" s="11"/>
      <c r="D356" s="11"/>
      <c r="E356" s="11"/>
      <c r="F356" s="11"/>
      <c r="G356" s="42"/>
      <c r="H356" s="42"/>
      <c r="I356" s="42"/>
      <c r="J356" s="42"/>
      <c r="K356" s="42"/>
      <c r="L356" s="42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11"/>
      <c r="B357" s="11"/>
      <c r="C357" s="11"/>
      <c r="D357" s="11"/>
      <c r="E357" s="11"/>
      <c r="F357" s="11"/>
      <c r="G357" s="42"/>
      <c r="H357" s="42"/>
      <c r="I357" s="42"/>
      <c r="J357" s="42"/>
      <c r="K357" s="42"/>
      <c r="L357" s="42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11"/>
      <c r="B358" s="11"/>
      <c r="C358" s="11"/>
      <c r="D358" s="11"/>
      <c r="E358" s="11"/>
      <c r="F358" s="11"/>
      <c r="G358" s="42"/>
      <c r="H358" s="42"/>
      <c r="I358" s="42"/>
      <c r="J358" s="42"/>
      <c r="K358" s="42"/>
      <c r="L358" s="42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11"/>
      <c r="B359" s="11"/>
      <c r="C359" s="11"/>
      <c r="D359" s="11"/>
      <c r="E359" s="11"/>
      <c r="F359" s="11"/>
      <c r="G359" s="42"/>
      <c r="H359" s="42"/>
      <c r="I359" s="42"/>
      <c r="J359" s="42"/>
      <c r="K359" s="42"/>
      <c r="L359" s="42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11"/>
      <c r="B360" s="11"/>
      <c r="C360" s="11"/>
      <c r="D360" s="11"/>
      <c r="E360" s="11"/>
      <c r="F360" s="11"/>
      <c r="G360" s="42"/>
      <c r="H360" s="42"/>
      <c r="I360" s="42"/>
      <c r="J360" s="42"/>
      <c r="K360" s="42"/>
      <c r="L360" s="42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11"/>
      <c r="B361" s="11"/>
      <c r="C361" s="11"/>
      <c r="D361" s="11"/>
      <c r="E361" s="11"/>
      <c r="F361" s="11"/>
      <c r="G361" s="42"/>
      <c r="H361" s="42"/>
      <c r="I361" s="42"/>
      <c r="J361" s="42"/>
      <c r="K361" s="42"/>
      <c r="L361" s="42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11"/>
      <c r="B362" s="11"/>
      <c r="C362" s="11"/>
      <c r="D362" s="11"/>
      <c r="E362" s="11"/>
      <c r="F362" s="11"/>
      <c r="G362" s="42"/>
      <c r="H362" s="42"/>
      <c r="I362" s="42"/>
      <c r="J362" s="42"/>
      <c r="K362" s="42"/>
      <c r="L362" s="42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11"/>
      <c r="B363" s="11"/>
      <c r="C363" s="11"/>
      <c r="D363" s="11"/>
      <c r="E363" s="11"/>
      <c r="F363" s="11"/>
      <c r="G363" s="42"/>
      <c r="H363" s="42"/>
      <c r="I363" s="42"/>
      <c r="J363" s="42"/>
      <c r="K363" s="42"/>
      <c r="L363" s="42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11"/>
      <c r="B364" s="11"/>
      <c r="C364" s="11"/>
      <c r="D364" s="11"/>
      <c r="E364" s="11"/>
      <c r="F364" s="11"/>
      <c r="G364" s="42"/>
      <c r="H364" s="42"/>
      <c r="I364" s="42"/>
      <c r="J364" s="42"/>
      <c r="K364" s="42"/>
      <c r="L364" s="42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11"/>
      <c r="B365" s="11"/>
      <c r="C365" s="11"/>
      <c r="D365" s="11"/>
      <c r="E365" s="11"/>
      <c r="F365" s="11"/>
      <c r="G365" s="42"/>
      <c r="H365" s="42"/>
      <c r="I365" s="42"/>
      <c r="J365" s="42"/>
      <c r="K365" s="42"/>
      <c r="L365" s="42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11"/>
      <c r="B366" s="11"/>
      <c r="C366" s="11"/>
      <c r="D366" s="11"/>
      <c r="E366" s="11"/>
      <c r="F366" s="11"/>
      <c r="G366" s="42"/>
      <c r="H366" s="42"/>
      <c r="I366" s="42"/>
      <c r="J366" s="42"/>
      <c r="K366" s="42"/>
      <c r="L366" s="42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11"/>
      <c r="B367" s="11"/>
      <c r="C367" s="11"/>
      <c r="D367" s="11"/>
      <c r="E367" s="11"/>
      <c r="F367" s="11"/>
      <c r="G367" s="42"/>
      <c r="H367" s="42"/>
      <c r="I367" s="42"/>
      <c r="J367" s="42"/>
      <c r="K367" s="42"/>
      <c r="L367" s="42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11"/>
      <c r="B368" s="11"/>
      <c r="C368" s="11"/>
      <c r="D368" s="11"/>
      <c r="E368" s="11"/>
      <c r="F368" s="11"/>
      <c r="G368" s="42"/>
      <c r="H368" s="42"/>
      <c r="I368" s="42"/>
      <c r="J368" s="42"/>
      <c r="K368" s="42"/>
      <c r="L368" s="42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11"/>
      <c r="B369" s="11"/>
      <c r="C369" s="11"/>
      <c r="D369" s="11"/>
      <c r="E369" s="11"/>
      <c r="F369" s="11"/>
      <c r="G369" s="42"/>
      <c r="H369" s="42"/>
      <c r="I369" s="42"/>
      <c r="J369" s="42"/>
      <c r="K369" s="42"/>
      <c r="L369" s="42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11"/>
      <c r="B370" s="11"/>
      <c r="C370" s="11"/>
      <c r="D370" s="11"/>
      <c r="E370" s="11"/>
      <c r="F370" s="11"/>
      <c r="G370" s="42"/>
      <c r="H370" s="42"/>
      <c r="I370" s="42"/>
      <c r="J370" s="42"/>
      <c r="K370" s="42"/>
      <c r="L370" s="42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11"/>
      <c r="B371" s="11"/>
      <c r="C371" s="11"/>
      <c r="D371" s="11"/>
      <c r="E371" s="11"/>
      <c r="F371" s="11"/>
      <c r="G371" s="42"/>
      <c r="H371" s="42"/>
      <c r="I371" s="42"/>
      <c r="J371" s="42"/>
      <c r="K371" s="42"/>
      <c r="L371" s="42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11"/>
      <c r="B372" s="11"/>
      <c r="C372" s="11"/>
      <c r="D372" s="11"/>
      <c r="E372" s="11"/>
      <c r="F372" s="11"/>
      <c r="G372" s="42"/>
      <c r="H372" s="42"/>
      <c r="I372" s="42"/>
      <c r="J372" s="42"/>
      <c r="K372" s="42"/>
      <c r="L372" s="42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11"/>
      <c r="B373" s="11"/>
      <c r="C373" s="11"/>
      <c r="D373" s="11"/>
      <c r="E373" s="11"/>
      <c r="F373" s="11"/>
      <c r="G373" s="42"/>
      <c r="H373" s="42"/>
      <c r="I373" s="42"/>
      <c r="J373" s="42"/>
      <c r="K373" s="42"/>
      <c r="L373" s="42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11"/>
      <c r="B374" s="11"/>
      <c r="C374" s="11"/>
      <c r="D374" s="11"/>
      <c r="E374" s="11"/>
      <c r="F374" s="11"/>
      <c r="G374" s="42"/>
      <c r="H374" s="42"/>
      <c r="I374" s="42"/>
      <c r="J374" s="42"/>
      <c r="K374" s="42"/>
      <c r="L374" s="42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11"/>
      <c r="B375" s="11"/>
      <c r="C375" s="11"/>
      <c r="D375" s="11"/>
      <c r="E375" s="11"/>
      <c r="F375" s="11"/>
      <c r="G375" s="42"/>
      <c r="H375" s="42"/>
      <c r="I375" s="42"/>
      <c r="J375" s="42"/>
      <c r="K375" s="42"/>
      <c r="L375" s="42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11"/>
      <c r="B376" s="11"/>
      <c r="C376" s="11"/>
      <c r="D376" s="11"/>
      <c r="E376" s="11"/>
      <c r="F376" s="11"/>
      <c r="G376" s="42"/>
      <c r="H376" s="42"/>
      <c r="I376" s="42"/>
      <c r="J376" s="42"/>
      <c r="K376" s="42"/>
      <c r="L376" s="42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11"/>
      <c r="B377" s="11"/>
      <c r="C377" s="11"/>
      <c r="D377" s="11"/>
      <c r="E377" s="11"/>
      <c r="F377" s="11"/>
      <c r="G377" s="42"/>
      <c r="H377" s="42"/>
      <c r="I377" s="42"/>
      <c r="J377" s="42"/>
      <c r="K377" s="42"/>
      <c r="L377" s="42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11"/>
      <c r="B378" s="11"/>
      <c r="C378" s="11"/>
      <c r="D378" s="11"/>
      <c r="E378" s="11"/>
      <c r="F378" s="11"/>
      <c r="G378" s="42"/>
      <c r="H378" s="42"/>
      <c r="I378" s="42"/>
      <c r="J378" s="42"/>
      <c r="K378" s="42"/>
      <c r="L378" s="42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11"/>
      <c r="B379" s="11"/>
      <c r="C379" s="11"/>
      <c r="D379" s="11"/>
      <c r="E379" s="11"/>
      <c r="F379" s="11"/>
      <c r="G379" s="42"/>
      <c r="H379" s="42"/>
      <c r="I379" s="42"/>
      <c r="J379" s="42"/>
      <c r="K379" s="42"/>
      <c r="L379" s="42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11"/>
      <c r="B380" s="11"/>
      <c r="C380" s="11"/>
      <c r="D380" s="11"/>
      <c r="E380" s="11"/>
      <c r="F380" s="11"/>
      <c r="G380" s="42"/>
      <c r="H380" s="42"/>
      <c r="I380" s="42"/>
      <c r="J380" s="42"/>
      <c r="K380" s="42"/>
      <c r="L380" s="42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11"/>
      <c r="B381" s="11"/>
      <c r="C381" s="11"/>
      <c r="D381" s="11"/>
      <c r="E381" s="11"/>
      <c r="F381" s="11"/>
      <c r="G381" s="42"/>
      <c r="H381" s="42"/>
      <c r="I381" s="42"/>
      <c r="J381" s="42"/>
      <c r="K381" s="42"/>
      <c r="L381" s="42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11"/>
      <c r="B382" s="11"/>
      <c r="C382" s="11"/>
      <c r="D382" s="11"/>
      <c r="E382" s="11"/>
      <c r="F382" s="11"/>
      <c r="G382" s="42"/>
      <c r="H382" s="42"/>
      <c r="I382" s="42"/>
      <c r="J382" s="42"/>
      <c r="K382" s="42"/>
      <c r="L382" s="42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11"/>
      <c r="B383" s="11"/>
      <c r="C383" s="11"/>
      <c r="D383" s="11"/>
      <c r="E383" s="11"/>
      <c r="F383" s="11"/>
      <c r="G383" s="42"/>
      <c r="H383" s="42"/>
      <c r="I383" s="42"/>
      <c r="J383" s="42"/>
      <c r="K383" s="42"/>
      <c r="L383" s="42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11"/>
      <c r="B384" s="11"/>
      <c r="C384" s="11"/>
      <c r="D384" s="11"/>
      <c r="E384" s="11"/>
      <c r="F384" s="11"/>
      <c r="G384" s="42"/>
      <c r="H384" s="42"/>
      <c r="I384" s="42"/>
      <c r="J384" s="42"/>
      <c r="K384" s="42"/>
      <c r="L384" s="42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11"/>
      <c r="B385" s="11"/>
      <c r="C385" s="11"/>
      <c r="D385" s="11"/>
      <c r="E385" s="11"/>
      <c r="F385" s="11"/>
      <c r="G385" s="42"/>
      <c r="H385" s="42"/>
      <c r="I385" s="42"/>
      <c r="J385" s="42"/>
      <c r="K385" s="42"/>
      <c r="L385" s="42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11"/>
      <c r="B386" s="11"/>
      <c r="C386" s="11"/>
      <c r="D386" s="11"/>
      <c r="E386" s="11"/>
      <c r="F386" s="11"/>
      <c r="G386" s="42"/>
      <c r="H386" s="42"/>
      <c r="I386" s="42"/>
      <c r="J386" s="42"/>
      <c r="K386" s="42"/>
      <c r="L386" s="42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11"/>
      <c r="B387" s="11"/>
      <c r="C387" s="11"/>
      <c r="D387" s="11"/>
      <c r="E387" s="11"/>
      <c r="F387" s="11"/>
      <c r="G387" s="42"/>
      <c r="H387" s="42"/>
      <c r="I387" s="42"/>
      <c r="J387" s="42"/>
      <c r="K387" s="42"/>
      <c r="L387" s="42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11"/>
      <c r="B388" s="11"/>
      <c r="C388" s="11"/>
      <c r="D388" s="11"/>
      <c r="E388" s="11"/>
      <c r="F388" s="11"/>
      <c r="G388" s="42"/>
      <c r="H388" s="42"/>
      <c r="I388" s="42"/>
      <c r="J388" s="42"/>
      <c r="K388" s="42"/>
      <c r="L388" s="42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11"/>
      <c r="B389" s="11"/>
      <c r="C389" s="11"/>
      <c r="D389" s="11"/>
      <c r="E389" s="11"/>
      <c r="F389" s="11"/>
      <c r="G389" s="42"/>
      <c r="H389" s="42"/>
      <c r="I389" s="42"/>
      <c r="J389" s="42"/>
      <c r="K389" s="42"/>
      <c r="L389" s="42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11"/>
      <c r="B390" s="11"/>
      <c r="C390" s="11"/>
      <c r="D390" s="11"/>
      <c r="E390" s="11"/>
      <c r="F390" s="11"/>
      <c r="G390" s="42"/>
      <c r="H390" s="42"/>
      <c r="I390" s="42"/>
      <c r="J390" s="42"/>
      <c r="K390" s="42"/>
      <c r="L390" s="42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11"/>
      <c r="B391" s="11"/>
      <c r="C391" s="11"/>
      <c r="D391" s="11"/>
      <c r="E391" s="11"/>
      <c r="F391" s="11"/>
      <c r="G391" s="42"/>
      <c r="H391" s="42"/>
      <c r="I391" s="42"/>
      <c r="J391" s="42"/>
      <c r="K391" s="42"/>
      <c r="L391" s="42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11"/>
      <c r="B392" s="11"/>
      <c r="C392" s="11"/>
      <c r="D392" s="11"/>
      <c r="E392" s="11"/>
      <c r="F392" s="11"/>
      <c r="G392" s="42"/>
      <c r="H392" s="42"/>
      <c r="I392" s="42"/>
      <c r="J392" s="42"/>
      <c r="K392" s="42"/>
      <c r="L392" s="42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11"/>
      <c r="B393" s="11"/>
      <c r="C393" s="11"/>
      <c r="D393" s="11"/>
      <c r="E393" s="11"/>
      <c r="F393" s="11"/>
      <c r="G393" s="42"/>
      <c r="H393" s="42"/>
      <c r="I393" s="42"/>
      <c r="J393" s="42"/>
      <c r="K393" s="42"/>
      <c r="L393" s="42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11"/>
      <c r="B394" s="11"/>
      <c r="C394" s="11"/>
      <c r="D394" s="11"/>
      <c r="E394" s="11"/>
      <c r="F394" s="11"/>
      <c r="G394" s="42"/>
      <c r="H394" s="42"/>
      <c r="I394" s="42"/>
      <c r="J394" s="42"/>
      <c r="K394" s="42"/>
      <c r="L394" s="42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11"/>
      <c r="B395" s="11"/>
      <c r="C395" s="11"/>
      <c r="D395" s="11"/>
      <c r="E395" s="11"/>
      <c r="F395" s="11"/>
      <c r="G395" s="42"/>
      <c r="H395" s="42"/>
      <c r="I395" s="42"/>
      <c r="J395" s="42"/>
      <c r="K395" s="42"/>
      <c r="L395" s="42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11"/>
      <c r="B396" s="11"/>
      <c r="C396" s="11"/>
      <c r="D396" s="11"/>
      <c r="E396" s="11"/>
      <c r="F396" s="11"/>
      <c r="G396" s="42"/>
      <c r="H396" s="42"/>
      <c r="I396" s="42"/>
      <c r="J396" s="42"/>
      <c r="K396" s="42"/>
      <c r="L396" s="42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11"/>
      <c r="B397" s="11"/>
      <c r="C397" s="11"/>
      <c r="D397" s="11"/>
      <c r="E397" s="11"/>
      <c r="F397" s="11"/>
      <c r="G397" s="42"/>
      <c r="H397" s="42"/>
      <c r="I397" s="42"/>
      <c r="J397" s="42"/>
      <c r="K397" s="42"/>
      <c r="L397" s="42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11"/>
      <c r="B398" s="11"/>
      <c r="C398" s="11"/>
      <c r="D398" s="11"/>
      <c r="E398" s="11"/>
      <c r="F398" s="11"/>
      <c r="G398" s="42"/>
      <c r="H398" s="42"/>
      <c r="I398" s="42"/>
      <c r="J398" s="42"/>
      <c r="K398" s="42"/>
      <c r="L398" s="42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11"/>
      <c r="B399" s="11"/>
      <c r="C399" s="11"/>
      <c r="D399" s="11"/>
      <c r="E399" s="11"/>
      <c r="F399" s="11"/>
      <c r="G399" s="42"/>
      <c r="H399" s="42"/>
      <c r="I399" s="42"/>
      <c r="J399" s="42"/>
      <c r="K399" s="42"/>
      <c r="L399" s="42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11"/>
      <c r="B400" s="11"/>
      <c r="C400" s="11"/>
      <c r="D400" s="11"/>
      <c r="E400" s="11"/>
      <c r="F400" s="11"/>
      <c r="G400" s="42"/>
      <c r="H400" s="42"/>
      <c r="I400" s="42"/>
      <c r="J400" s="42"/>
      <c r="K400" s="42"/>
      <c r="L400" s="42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11"/>
      <c r="B401" s="11"/>
      <c r="C401" s="11"/>
      <c r="D401" s="11"/>
      <c r="E401" s="11"/>
      <c r="F401" s="11"/>
      <c r="G401" s="42"/>
      <c r="H401" s="42"/>
      <c r="I401" s="42"/>
      <c r="J401" s="42"/>
      <c r="K401" s="42"/>
      <c r="L401" s="42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11"/>
      <c r="B402" s="11"/>
      <c r="C402" s="11"/>
      <c r="D402" s="11"/>
      <c r="E402" s="11"/>
      <c r="F402" s="11"/>
      <c r="G402" s="42"/>
      <c r="H402" s="42"/>
      <c r="I402" s="42"/>
      <c r="J402" s="42"/>
      <c r="K402" s="42"/>
      <c r="L402" s="42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11"/>
      <c r="B403" s="11"/>
      <c r="C403" s="11"/>
      <c r="D403" s="11"/>
      <c r="E403" s="11"/>
      <c r="F403" s="11"/>
      <c r="G403" s="42"/>
      <c r="H403" s="42"/>
      <c r="I403" s="42"/>
      <c r="J403" s="42"/>
      <c r="K403" s="42"/>
      <c r="L403" s="42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11"/>
      <c r="B404" s="11"/>
      <c r="C404" s="11"/>
      <c r="D404" s="11"/>
      <c r="E404" s="11"/>
      <c r="F404" s="11"/>
      <c r="G404" s="42"/>
      <c r="H404" s="42"/>
      <c r="I404" s="42"/>
      <c r="J404" s="42"/>
      <c r="K404" s="42"/>
      <c r="L404" s="42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11"/>
      <c r="B405" s="11"/>
      <c r="C405" s="11"/>
      <c r="D405" s="11"/>
      <c r="E405" s="11"/>
      <c r="F405" s="11"/>
      <c r="G405" s="42"/>
      <c r="H405" s="42"/>
      <c r="I405" s="42"/>
      <c r="J405" s="42"/>
      <c r="K405" s="42"/>
      <c r="L405" s="42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11"/>
      <c r="B406" s="11"/>
      <c r="C406" s="11"/>
      <c r="D406" s="11"/>
      <c r="E406" s="11"/>
      <c r="F406" s="11"/>
      <c r="G406" s="42"/>
      <c r="H406" s="42"/>
      <c r="I406" s="42"/>
      <c r="J406" s="42"/>
      <c r="K406" s="42"/>
      <c r="L406" s="42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11"/>
      <c r="B407" s="11"/>
      <c r="C407" s="11"/>
      <c r="D407" s="11"/>
      <c r="E407" s="11"/>
      <c r="F407" s="11"/>
      <c r="G407" s="42"/>
      <c r="H407" s="42"/>
      <c r="I407" s="42"/>
      <c r="J407" s="42"/>
      <c r="K407" s="42"/>
      <c r="L407" s="42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11"/>
      <c r="B408" s="11"/>
      <c r="C408" s="11"/>
      <c r="D408" s="11"/>
      <c r="E408" s="11"/>
      <c r="F408" s="11"/>
      <c r="G408" s="42"/>
      <c r="H408" s="42"/>
      <c r="I408" s="42"/>
      <c r="J408" s="42"/>
      <c r="K408" s="42"/>
      <c r="L408" s="42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11"/>
      <c r="B409" s="11"/>
      <c r="C409" s="11"/>
      <c r="D409" s="11"/>
      <c r="E409" s="11"/>
      <c r="F409" s="11"/>
      <c r="G409" s="42"/>
      <c r="H409" s="42"/>
      <c r="I409" s="42"/>
      <c r="J409" s="42"/>
      <c r="K409" s="42"/>
      <c r="L409" s="42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11"/>
      <c r="B410" s="11"/>
      <c r="C410" s="11"/>
      <c r="D410" s="11"/>
      <c r="E410" s="11"/>
      <c r="F410" s="11"/>
      <c r="G410" s="42"/>
      <c r="H410" s="42"/>
      <c r="I410" s="42"/>
      <c r="J410" s="42"/>
      <c r="K410" s="42"/>
      <c r="L410" s="42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11"/>
      <c r="B411" s="11"/>
      <c r="C411" s="11"/>
      <c r="D411" s="11"/>
      <c r="E411" s="11"/>
      <c r="F411" s="11"/>
      <c r="G411" s="42"/>
      <c r="H411" s="42"/>
      <c r="I411" s="42"/>
      <c r="J411" s="42"/>
      <c r="K411" s="42"/>
      <c r="L411" s="42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11"/>
      <c r="B412" s="11"/>
      <c r="C412" s="11"/>
      <c r="D412" s="11"/>
      <c r="E412" s="11"/>
      <c r="F412" s="11"/>
      <c r="G412" s="42"/>
      <c r="H412" s="42"/>
      <c r="I412" s="42"/>
      <c r="J412" s="42"/>
      <c r="K412" s="42"/>
      <c r="L412" s="42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11"/>
      <c r="B413" s="11"/>
      <c r="C413" s="11"/>
      <c r="D413" s="11"/>
      <c r="E413" s="11"/>
      <c r="F413" s="11"/>
      <c r="G413" s="42"/>
      <c r="H413" s="42"/>
      <c r="I413" s="42"/>
      <c r="J413" s="42"/>
      <c r="K413" s="42"/>
      <c r="L413" s="42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11"/>
      <c r="B414" s="11"/>
      <c r="C414" s="11"/>
      <c r="D414" s="11"/>
      <c r="E414" s="11"/>
      <c r="F414" s="11"/>
      <c r="G414" s="42"/>
      <c r="H414" s="42"/>
      <c r="I414" s="42"/>
      <c r="J414" s="42"/>
      <c r="K414" s="42"/>
      <c r="L414" s="42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11"/>
      <c r="B415" s="11"/>
      <c r="C415" s="11"/>
      <c r="D415" s="11"/>
      <c r="E415" s="11"/>
      <c r="F415" s="11"/>
      <c r="G415" s="42"/>
      <c r="H415" s="42"/>
      <c r="I415" s="42"/>
      <c r="J415" s="42"/>
      <c r="K415" s="42"/>
      <c r="L415" s="42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11"/>
      <c r="B416" s="11"/>
      <c r="C416" s="11"/>
      <c r="D416" s="11"/>
      <c r="E416" s="11"/>
      <c r="F416" s="11"/>
      <c r="G416" s="42"/>
      <c r="H416" s="42"/>
      <c r="I416" s="42"/>
      <c r="J416" s="42"/>
      <c r="K416" s="42"/>
      <c r="L416" s="42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11"/>
      <c r="B417" s="11"/>
      <c r="C417" s="11"/>
      <c r="D417" s="11"/>
      <c r="E417" s="11"/>
      <c r="F417" s="11"/>
      <c r="G417" s="42"/>
      <c r="H417" s="42"/>
      <c r="I417" s="42"/>
      <c r="J417" s="42"/>
      <c r="K417" s="42"/>
      <c r="L417" s="42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11"/>
      <c r="B418" s="11"/>
      <c r="C418" s="11"/>
      <c r="D418" s="11"/>
      <c r="E418" s="11"/>
      <c r="F418" s="11"/>
      <c r="G418" s="42"/>
      <c r="H418" s="42"/>
      <c r="I418" s="42"/>
      <c r="J418" s="42"/>
      <c r="K418" s="42"/>
      <c r="L418" s="42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11"/>
      <c r="B419" s="11"/>
      <c r="C419" s="11"/>
      <c r="D419" s="11"/>
      <c r="E419" s="11"/>
      <c r="F419" s="11"/>
      <c r="G419" s="42"/>
      <c r="H419" s="42"/>
      <c r="I419" s="42"/>
      <c r="J419" s="42"/>
      <c r="K419" s="42"/>
      <c r="L419" s="42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11"/>
      <c r="B420" s="11"/>
      <c r="C420" s="11"/>
      <c r="D420" s="11"/>
      <c r="E420" s="11"/>
      <c r="F420" s="11"/>
      <c r="G420" s="42"/>
      <c r="H420" s="42"/>
      <c r="I420" s="42"/>
      <c r="J420" s="42"/>
      <c r="K420" s="42"/>
      <c r="L420" s="42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11"/>
      <c r="B421" s="11"/>
      <c r="C421" s="11"/>
      <c r="D421" s="11"/>
      <c r="E421" s="11"/>
      <c r="F421" s="11"/>
      <c r="G421" s="42"/>
      <c r="H421" s="42"/>
      <c r="I421" s="42"/>
      <c r="J421" s="42"/>
      <c r="K421" s="42"/>
      <c r="L421" s="42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11"/>
      <c r="B422" s="11"/>
      <c r="C422" s="11"/>
      <c r="D422" s="11"/>
      <c r="E422" s="11"/>
      <c r="F422" s="11"/>
      <c r="G422" s="42"/>
      <c r="H422" s="42"/>
      <c r="I422" s="42"/>
      <c r="J422" s="42"/>
      <c r="K422" s="42"/>
      <c r="L422" s="42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11"/>
      <c r="B423" s="11"/>
      <c r="C423" s="11"/>
      <c r="D423" s="11"/>
      <c r="E423" s="11"/>
      <c r="F423" s="11"/>
      <c r="G423" s="42"/>
      <c r="H423" s="42"/>
      <c r="I423" s="42"/>
      <c r="J423" s="42"/>
      <c r="K423" s="42"/>
      <c r="L423" s="42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11"/>
      <c r="B424" s="11"/>
      <c r="C424" s="11"/>
      <c r="D424" s="11"/>
      <c r="E424" s="11"/>
      <c r="F424" s="11"/>
      <c r="G424" s="42"/>
      <c r="H424" s="42"/>
      <c r="I424" s="42"/>
      <c r="J424" s="42"/>
      <c r="K424" s="42"/>
      <c r="L424" s="42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11"/>
      <c r="B425" s="11"/>
      <c r="C425" s="11"/>
      <c r="D425" s="11"/>
      <c r="E425" s="11"/>
      <c r="F425" s="11"/>
      <c r="G425" s="42"/>
      <c r="H425" s="42"/>
      <c r="I425" s="42"/>
      <c r="J425" s="42"/>
      <c r="K425" s="42"/>
      <c r="L425" s="42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11"/>
      <c r="B426" s="11"/>
      <c r="C426" s="11"/>
      <c r="D426" s="11"/>
      <c r="E426" s="11"/>
      <c r="F426" s="11"/>
      <c r="G426" s="42"/>
      <c r="H426" s="42"/>
      <c r="I426" s="42"/>
      <c r="J426" s="42"/>
      <c r="K426" s="42"/>
      <c r="L426" s="42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11"/>
      <c r="B427" s="11"/>
      <c r="C427" s="11"/>
      <c r="D427" s="11"/>
      <c r="E427" s="11"/>
      <c r="F427" s="11"/>
      <c r="G427" s="42"/>
      <c r="H427" s="42"/>
      <c r="I427" s="42"/>
      <c r="J427" s="42"/>
      <c r="K427" s="42"/>
      <c r="L427" s="42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11"/>
      <c r="B428" s="11"/>
      <c r="C428" s="11"/>
      <c r="D428" s="11"/>
      <c r="E428" s="11"/>
      <c r="F428" s="11"/>
      <c r="G428" s="42"/>
      <c r="H428" s="42"/>
      <c r="I428" s="42"/>
      <c r="J428" s="42"/>
      <c r="K428" s="42"/>
      <c r="L428" s="42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11"/>
      <c r="B429" s="11"/>
      <c r="C429" s="11"/>
      <c r="D429" s="11"/>
      <c r="E429" s="11"/>
      <c r="F429" s="11"/>
      <c r="G429" s="42"/>
      <c r="H429" s="42"/>
      <c r="I429" s="42"/>
      <c r="J429" s="42"/>
      <c r="K429" s="42"/>
      <c r="L429" s="42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11"/>
      <c r="B430" s="11"/>
      <c r="C430" s="11"/>
      <c r="D430" s="11"/>
      <c r="E430" s="11"/>
      <c r="F430" s="11"/>
      <c r="G430" s="42"/>
      <c r="H430" s="42"/>
      <c r="I430" s="42"/>
      <c r="J430" s="42"/>
      <c r="K430" s="42"/>
      <c r="L430" s="42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11"/>
      <c r="B431" s="11"/>
      <c r="C431" s="11"/>
      <c r="D431" s="11"/>
      <c r="E431" s="11"/>
      <c r="F431" s="11"/>
      <c r="G431" s="42"/>
      <c r="H431" s="42"/>
      <c r="I431" s="42"/>
      <c r="J431" s="42"/>
      <c r="K431" s="42"/>
      <c r="L431" s="42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11"/>
      <c r="B432" s="11"/>
      <c r="C432" s="11"/>
      <c r="D432" s="11"/>
      <c r="E432" s="11"/>
      <c r="F432" s="11"/>
      <c r="G432" s="42"/>
      <c r="H432" s="42"/>
      <c r="I432" s="42"/>
      <c r="J432" s="42"/>
      <c r="K432" s="42"/>
      <c r="L432" s="42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11"/>
      <c r="B433" s="11"/>
      <c r="C433" s="11"/>
      <c r="D433" s="11"/>
      <c r="E433" s="11"/>
      <c r="F433" s="11"/>
      <c r="G433" s="42"/>
      <c r="H433" s="42"/>
      <c r="I433" s="42"/>
      <c r="J433" s="42"/>
      <c r="K433" s="42"/>
      <c r="L433" s="42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11"/>
      <c r="B434" s="11"/>
      <c r="C434" s="11"/>
      <c r="D434" s="11"/>
      <c r="E434" s="11"/>
      <c r="F434" s="11"/>
      <c r="G434" s="42"/>
      <c r="H434" s="42"/>
      <c r="I434" s="42"/>
      <c r="J434" s="42"/>
      <c r="K434" s="42"/>
      <c r="L434" s="42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11"/>
      <c r="B435" s="11"/>
      <c r="C435" s="11"/>
      <c r="D435" s="11"/>
      <c r="E435" s="11"/>
      <c r="F435" s="11"/>
      <c r="G435" s="42"/>
      <c r="H435" s="42"/>
      <c r="I435" s="42"/>
      <c r="J435" s="42"/>
      <c r="K435" s="42"/>
      <c r="L435" s="42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11"/>
      <c r="B436" s="11"/>
      <c r="C436" s="11"/>
      <c r="D436" s="11"/>
      <c r="E436" s="11"/>
      <c r="F436" s="11"/>
      <c r="G436" s="42"/>
      <c r="H436" s="42"/>
      <c r="I436" s="42"/>
      <c r="J436" s="42"/>
      <c r="K436" s="42"/>
      <c r="L436" s="42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11"/>
      <c r="B437" s="11"/>
      <c r="C437" s="11"/>
      <c r="D437" s="11"/>
      <c r="E437" s="11"/>
      <c r="F437" s="11"/>
      <c r="G437" s="42"/>
      <c r="H437" s="42"/>
      <c r="I437" s="42"/>
      <c r="J437" s="42"/>
      <c r="K437" s="42"/>
      <c r="L437" s="42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11"/>
      <c r="B438" s="11"/>
      <c r="C438" s="11"/>
      <c r="D438" s="11"/>
      <c r="E438" s="11"/>
      <c r="F438" s="11"/>
      <c r="G438" s="42"/>
      <c r="H438" s="42"/>
      <c r="I438" s="42"/>
      <c r="J438" s="42"/>
      <c r="K438" s="42"/>
      <c r="L438" s="42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11"/>
      <c r="B439" s="11"/>
      <c r="C439" s="11"/>
      <c r="D439" s="11"/>
      <c r="E439" s="11"/>
      <c r="F439" s="11"/>
      <c r="G439" s="42"/>
      <c r="H439" s="42"/>
      <c r="I439" s="42"/>
      <c r="J439" s="42"/>
      <c r="K439" s="42"/>
      <c r="L439" s="42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11"/>
      <c r="B440" s="11"/>
      <c r="C440" s="11"/>
      <c r="D440" s="11"/>
      <c r="E440" s="11"/>
      <c r="F440" s="11"/>
      <c r="G440" s="42"/>
      <c r="H440" s="42"/>
      <c r="I440" s="42"/>
      <c r="J440" s="42"/>
      <c r="K440" s="42"/>
      <c r="L440" s="42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11"/>
      <c r="B441" s="11"/>
      <c r="C441" s="11"/>
      <c r="D441" s="11"/>
      <c r="E441" s="11"/>
      <c r="F441" s="11"/>
      <c r="G441" s="42"/>
      <c r="H441" s="42"/>
      <c r="I441" s="42"/>
      <c r="J441" s="42"/>
      <c r="K441" s="42"/>
      <c r="L441" s="42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11"/>
      <c r="B442" s="11"/>
      <c r="C442" s="11"/>
      <c r="D442" s="11"/>
      <c r="E442" s="11"/>
      <c r="F442" s="11"/>
      <c r="G442" s="42"/>
      <c r="H442" s="42"/>
      <c r="I442" s="42"/>
      <c r="J442" s="42"/>
      <c r="K442" s="42"/>
      <c r="L442" s="42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11"/>
      <c r="B443" s="11"/>
      <c r="C443" s="11"/>
      <c r="D443" s="11"/>
      <c r="E443" s="11"/>
      <c r="F443" s="11"/>
      <c r="G443" s="42"/>
      <c r="H443" s="42"/>
      <c r="I443" s="42"/>
      <c r="J443" s="42"/>
      <c r="K443" s="42"/>
      <c r="L443" s="42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11"/>
      <c r="B444" s="11"/>
      <c r="C444" s="11"/>
      <c r="D444" s="11"/>
      <c r="E444" s="11"/>
      <c r="F444" s="11"/>
      <c r="G444" s="42"/>
      <c r="H444" s="42"/>
      <c r="I444" s="42"/>
      <c r="J444" s="42"/>
      <c r="K444" s="42"/>
      <c r="L444" s="42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11"/>
      <c r="B445" s="11"/>
      <c r="C445" s="11"/>
      <c r="D445" s="11"/>
      <c r="E445" s="11"/>
      <c r="F445" s="11"/>
      <c r="G445" s="42"/>
      <c r="H445" s="42"/>
      <c r="I445" s="42"/>
      <c r="J445" s="42"/>
      <c r="K445" s="42"/>
      <c r="L445" s="42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11"/>
      <c r="B446" s="11"/>
      <c r="C446" s="11"/>
      <c r="D446" s="11"/>
      <c r="E446" s="11"/>
      <c r="F446" s="11"/>
      <c r="G446" s="42"/>
      <c r="H446" s="42"/>
      <c r="I446" s="42"/>
      <c r="J446" s="42"/>
      <c r="K446" s="42"/>
      <c r="L446" s="42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11"/>
      <c r="B447" s="11"/>
      <c r="C447" s="11"/>
      <c r="D447" s="11"/>
      <c r="E447" s="11"/>
      <c r="F447" s="11"/>
      <c r="G447" s="42"/>
      <c r="H447" s="42"/>
      <c r="I447" s="42"/>
      <c r="J447" s="42"/>
      <c r="K447" s="42"/>
      <c r="L447" s="42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11"/>
      <c r="B448" s="11"/>
      <c r="C448" s="11"/>
      <c r="D448" s="11"/>
      <c r="E448" s="11"/>
      <c r="F448" s="11"/>
      <c r="G448" s="42"/>
      <c r="H448" s="42"/>
      <c r="I448" s="42"/>
      <c r="J448" s="42"/>
      <c r="K448" s="42"/>
      <c r="L448" s="42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11"/>
      <c r="B449" s="11"/>
      <c r="C449" s="11"/>
      <c r="D449" s="11"/>
      <c r="E449" s="11"/>
      <c r="F449" s="11"/>
      <c r="G449" s="42"/>
      <c r="H449" s="42"/>
      <c r="I449" s="42"/>
      <c r="J449" s="42"/>
      <c r="K449" s="42"/>
      <c r="L449" s="42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11"/>
      <c r="B450" s="11"/>
      <c r="C450" s="11"/>
      <c r="D450" s="11"/>
      <c r="E450" s="11"/>
      <c r="F450" s="11"/>
      <c r="G450" s="42"/>
      <c r="H450" s="42"/>
      <c r="I450" s="42"/>
      <c r="J450" s="42"/>
      <c r="K450" s="42"/>
      <c r="L450" s="42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11"/>
      <c r="B451" s="11"/>
      <c r="C451" s="11"/>
      <c r="D451" s="11"/>
      <c r="E451" s="11"/>
      <c r="F451" s="11"/>
      <c r="G451" s="42"/>
      <c r="H451" s="42"/>
      <c r="I451" s="42"/>
      <c r="J451" s="42"/>
      <c r="K451" s="42"/>
      <c r="L451" s="42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11"/>
      <c r="B452" s="11"/>
      <c r="C452" s="11"/>
      <c r="D452" s="11"/>
      <c r="E452" s="11"/>
      <c r="F452" s="11"/>
      <c r="G452" s="42"/>
      <c r="H452" s="42"/>
      <c r="I452" s="42"/>
      <c r="J452" s="42"/>
      <c r="K452" s="42"/>
      <c r="L452" s="42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11"/>
      <c r="B453" s="11"/>
      <c r="C453" s="11"/>
      <c r="D453" s="11"/>
      <c r="E453" s="11"/>
      <c r="F453" s="11"/>
      <c r="G453" s="42"/>
      <c r="H453" s="42"/>
      <c r="I453" s="42"/>
      <c r="J453" s="42"/>
      <c r="K453" s="42"/>
      <c r="L453" s="42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11"/>
      <c r="B454" s="11"/>
      <c r="C454" s="11"/>
      <c r="D454" s="11"/>
      <c r="E454" s="11"/>
      <c r="F454" s="11"/>
      <c r="G454" s="42"/>
      <c r="H454" s="42"/>
      <c r="I454" s="42"/>
      <c r="J454" s="42"/>
      <c r="K454" s="42"/>
      <c r="L454" s="42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11"/>
      <c r="B455" s="11"/>
      <c r="C455" s="11"/>
      <c r="D455" s="11"/>
      <c r="E455" s="11"/>
      <c r="F455" s="11"/>
      <c r="G455" s="42"/>
      <c r="H455" s="42"/>
      <c r="I455" s="42"/>
      <c r="J455" s="42"/>
      <c r="K455" s="42"/>
      <c r="L455" s="42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11"/>
      <c r="B456" s="11"/>
      <c r="C456" s="11"/>
      <c r="D456" s="11"/>
      <c r="E456" s="11"/>
      <c r="F456" s="11"/>
      <c r="G456" s="42"/>
      <c r="H456" s="42"/>
      <c r="I456" s="42"/>
      <c r="J456" s="42"/>
      <c r="K456" s="42"/>
      <c r="L456" s="42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11"/>
      <c r="B457" s="11"/>
      <c r="C457" s="11"/>
      <c r="D457" s="11"/>
      <c r="E457" s="11"/>
      <c r="F457" s="11"/>
      <c r="G457" s="42"/>
      <c r="H457" s="42"/>
      <c r="I457" s="42"/>
      <c r="J457" s="42"/>
      <c r="K457" s="42"/>
      <c r="L457" s="42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11"/>
      <c r="B458" s="11"/>
      <c r="C458" s="11"/>
      <c r="D458" s="11"/>
      <c r="E458" s="11"/>
      <c r="F458" s="11"/>
      <c r="G458" s="42"/>
      <c r="H458" s="42"/>
      <c r="I458" s="42"/>
      <c r="J458" s="42"/>
      <c r="K458" s="42"/>
      <c r="L458" s="42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11"/>
      <c r="B459" s="11"/>
      <c r="C459" s="11"/>
      <c r="D459" s="11"/>
      <c r="E459" s="11"/>
      <c r="F459" s="11"/>
      <c r="G459" s="42"/>
      <c r="H459" s="42"/>
      <c r="I459" s="42"/>
      <c r="J459" s="42"/>
      <c r="K459" s="42"/>
      <c r="L459" s="42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11"/>
      <c r="B460" s="11"/>
      <c r="C460" s="11"/>
      <c r="D460" s="11"/>
      <c r="E460" s="11"/>
      <c r="F460" s="11"/>
      <c r="G460" s="42"/>
      <c r="H460" s="42"/>
      <c r="I460" s="42"/>
      <c r="J460" s="42"/>
      <c r="K460" s="42"/>
      <c r="L460" s="42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11"/>
      <c r="B461" s="11"/>
      <c r="C461" s="11"/>
      <c r="D461" s="11"/>
      <c r="E461" s="11"/>
      <c r="F461" s="11"/>
      <c r="G461" s="42"/>
      <c r="H461" s="42"/>
      <c r="I461" s="42"/>
      <c r="J461" s="42"/>
      <c r="K461" s="42"/>
      <c r="L461" s="42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11"/>
      <c r="B462" s="11"/>
      <c r="C462" s="11"/>
      <c r="D462" s="11"/>
      <c r="E462" s="11"/>
      <c r="F462" s="11"/>
      <c r="G462" s="42"/>
      <c r="H462" s="42"/>
      <c r="I462" s="42"/>
      <c r="J462" s="42"/>
      <c r="K462" s="42"/>
      <c r="L462" s="42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11"/>
      <c r="B463" s="11"/>
      <c r="C463" s="11"/>
      <c r="D463" s="11"/>
      <c r="E463" s="11"/>
      <c r="F463" s="11"/>
      <c r="G463" s="42"/>
      <c r="H463" s="42"/>
      <c r="I463" s="42"/>
      <c r="J463" s="42"/>
      <c r="K463" s="42"/>
      <c r="L463" s="42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11"/>
      <c r="B464" s="11"/>
      <c r="C464" s="11"/>
      <c r="D464" s="11"/>
      <c r="E464" s="11"/>
      <c r="F464" s="11"/>
      <c r="G464" s="42"/>
      <c r="H464" s="42"/>
      <c r="I464" s="42"/>
      <c r="J464" s="42"/>
      <c r="K464" s="42"/>
      <c r="L464" s="42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11"/>
      <c r="B465" s="11"/>
      <c r="C465" s="11"/>
      <c r="D465" s="11"/>
      <c r="E465" s="11"/>
      <c r="F465" s="11"/>
      <c r="G465" s="42"/>
      <c r="H465" s="42"/>
      <c r="I465" s="42"/>
      <c r="J465" s="42"/>
      <c r="K465" s="42"/>
      <c r="L465" s="42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11"/>
      <c r="B466" s="11"/>
      <c r="C466" s="11"/>
      <c r="D466" s="11"/>
      <c r="E466" s="11"/>
      <c r="F466" s="11"/>
      <c r="G466" s="42"/>
      <c r="H466" s="42"/>
      <c r="I466" s="42"/>
      <c r="J466" s="42"/>
      <c r="K466" s="42"/>
      <c r="L466" s="42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11"/>
      <c r="B467" s="11"/>
      <c r="C467" s="11"/>
      <c r="D467" s="11"/>
      <c r="E467" s="11"/>
      <c r="F467" s="11"/>
      <c r="G467" s="42"/>
      <c r="H467" s="42"/>
      <c r="I467" s="42"/>
      <c r="J467" s="42"/>
      <c r="K467" s="42"/>
      <c r="L467" s="42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11"/>
      <c r="B468" s="11"/>
      <c r="C468" s="11"/>
      <c r="D468" s="11"/>
      <c r="E468" s="11"/>
      <c r="F468" s="11"/>
      <c r="G468" s="42"/>
      <c r="H468" s="42"/>
      <c r="I468" s="42"/>
      <c r="J468" s="42"/>
      <c r="K468" s="42"/>
      <c r="L468" s="42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11"/>
      <c r="B469" s="11"/>
      <c r="C469" s="11"/>
      <c r="D469" s="11"/>
      <c r="E469" s="11"/>
      <c r="F469" s="11"/>
      <c r="G469" s="42"/>
      <c r="H469" s="42"/>
      <c r="I469" s="42"/>
      <c r="J469" s="42"/>
      <c r="K469" s="42"/>
      <c r="L469" s="42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11"/>
      <c r="B470" s="11"/>
      <c r="C470" s="11"/>
      <c r="D470" s="11"/>
      <c r="E470" s="11"/>
      <c r="F470" s="11"/>
      <c r="G470" s="42"/>
      <c r="H470" s="42"/>
      <c r="I470" s="42"/>
      <c r="J470" s="42"/>
      <c r="K470" s="42"/>
      <c r="L470" s="42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11"/>
      <c r="B471" s="11"/>
      <c r="C471" s="11"/>
      <c r="D471" s="11"/>
      <c r="E471" s="11"/>
      <c r="F471" s="11"/>
      <c r="G471" s="42"/>
      <c r="H471" s="42"/>
      <c r="I471" s="42"/>
      <c r="J471" s="42"/>
      <c r="K471" s="42"/>
      <c r="L471" s="42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11"/>
      <c r="B472" s="11"/>
      <c r="C472" s="11"/>
      <c r="D472" s="11"/>
      <c r="E472" s="11"/>
      <c r="F472" s="11"/>
      <c r="G472" s="42"/>
      <c r="H472" s="42"/>
      <c r="I472" s="42"/>
      <c r="J472" s="42"/>
      <c r="K472" s="42"/>
      <c r="L472" s="42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11"/>
      <c r="B473" s="11"/>
      <c r="C473" s="11"/>
      <c r="D473" s="11"/>
      <c r="E473" s="11"/>
      <c r="F473" s="11"/>
      <c r="G473" s="42"/>
      <c r="H473" s="42"/>
      <c r="I473" s="42"/>
      <c r="J473" s="42"/>
      <c r="K473" s="42"/>
      <c r="L473" s="42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11"/>
      <c r="B474" s="11"/>
      <c r="C474" s="11"/>
      <c r="D474" s="11"/>
      <c r="E474" s="11"/>
      <c r="F474" s="11"/>
      <c r="G474" s="42"/>
      <c r="H474" s="42"/>
      <c r="I474" s="42"/>
      <c r="J474" s="42"/>
      <c r="K474" s="42"/>
      <c r="L474" s="42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11"/>
      <c r="B475" s="11"/>
      <c r="C475" s="11"/>
      <c r="D475" s="11"/>
      <c r="E475" s="11"/>
      <c r="F475" s="11"/>
      <c r="G475" s="42"/>
      <c r="H475" s="42"/>
      <c r="I475" s="42"/>
      <c r="J475" s="42"/>
      <c r="K475" s="42"/>
      <c r="L475" s="42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11"/>
      <c r="B476" s="11"/>
      <c r="C476" s="11"/>
      <c r="D476" s="11"/>
      <c r="E476" s="11"/>
      <c r="F476" s="11"/>
      <c r="G476" s="42"/>
      <c r="H476" s="42"/>
      <c r="I476" s="42"/>
      <c r="J476" s="42"/>
      <c r="K476" s="42"/>
      <c r="L476" s="42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11"/>
      <c r="B477" s="11"/>
      <c r="C477" s="11"/>
      <c r="D477" s="11"/>
      <c r="E477" s="11"/>
      <c r="F477" s="11"/>
      <c r="G477" s="42"/>
      <c r="H477" s="42"/>
      <c r="I477" s="42"/>
      <c r="J477" s="42"/>
      <c r="K477" s="42"/>
      <c r="L477" s="42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11"/>
      <c r="B478" s="11"/>
      <c r="C478" s="11"/>
      <c r="D478" s="11"/>
      <c r="E478" s="11"/>
      <c r="F478" s="11"/>
      <c r="G478" s="42"/>
      <c r="H478" s="42"/>
      <c r="I478" s="42"/>
      <c r="J478" s="42"/>
      <c r="K478" s="42"/>
      <c r="L478" s="42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11"/>
      <c r="B479" s="11"/>
      <c r="C479" s="11"/>
      <c r="D479" s="11"/>
      <c r="E479" s="11"/>
      <c r="F479" s="11"/>
      <c r="G479" s="42"/>
      <c r="H479" s="42"/>
      <c r="I479" s="42"/>
      <c r="J479" s="42"/>
      <c r="K479" s="42"/>
      <c r="L479" s="42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11"/>
      <c r="B480" s="11"/>
      <c r="C480" s="11"/>
      <c r="D480" s="11"/>
      <c r="E480" s="11"/>
      <c r="F480" s="11"/>
      <c r="G480" s="42"/>
      <c r="H480" s="42"/>
      <c r="I480" s="42"/>
      <c r="J480" s="42"/>
      <c r="K480" s="42"/>
      <c r="L480" s="42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11"/>
      <c r="B481" s="11"/>
      <c r="C481" s="11"/>
      <c r="D481" s="11"/>
      <c r="E481" s="11"/>
      <c r="F481" s="11"/>
      <c r="G481" s="42"/>
      <c r="H481" s="42"/>
      <c r="I481" s="42"/>
      <c r="J481" s="42"/>
      <c r="K481" s="42"/>
      <c r="L481" s="42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11"/>
      <c r="B482" s="11"/>
      <c r="C482" s="11"/>
      <c r="D482" s="11"/>
      <c r="E482" s="11"/>
      <c r="F482" s="11"/>
      <c r="G482" s="42"/>
      <c r="H482" s="42"/>
      <c r="I482" s="42"/>
      <c r="J482" s="42"/>
      <c r="K482" s="42"/>
      <c r="L482" s="42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11"/>
      <c r="B483" s="11"/>
      <c r="C483" s="11"/>
      <c r="D483" s="11"/>
      <c r="E483" s="11"/>
      <c r="F483" s="11"/>
      <c r="G483" s="42"/>
      <c r="H483" s="42"/>
      <c r="I483" s="42"/>
      <c r="J483" s="42"/>
      <c r="K483" s="42"/>
      <c r="L483" s="42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11"/>
      <c r="B484" s="11"/>
      <c r="C484" s="11"/>
      <c r="D484" s="11"/>
      <c r="E484" s="11"/>
      <c r="F484" s="11"/>
      <c r="G484" s="42"/>
      <c r="H484" s="42"/>
      <c r="I484" s="42"/>
      <c r="J484" s="42"/>
      <c r="K484" s="42"/>
      <c r="L484" s="42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11"/>
      <c r="B485" s="11"/>
      <c r="C485" s="11"/>
      <c r="D485" s="11"/>
      <c r="E485" s="11"/>
      <c r="F485" s="11"/>
      <c r="G485" s="42"/>
      <c r="H485" s="42"/>
      <c r="I485" s="42"/>
      <c r="J485" s="42"/>
      <c r="K485" s="42"/>
      <c r="L485" s="42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11"/>
      <c r="B486" s="11"/>
      <c r="C486" s="11"/>
      <c r="D486" s="11"/>
      <c r="E486" s="11"/>
      <c r="F486" s="11"/>
      <c r="G486" s="42"/>
      <c r="H486" s="42"/>
      <c r="I486" s="42"/>
      <c r="J486" s="42"/>
      <c r="K486" s="42"/>
      <c r="L486" s="42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11"/>
      <c r="B487" s="11"/>
      <c r="C487" s="11"/>
      <c r="D487" s="11"/>
      <c r="E487" s="11"/>
      <c r="F487" s="11"/>
      <c r="G487" s="42"/>
      <c r="H487" s="42"/>
      <c r="I487" s="42"/>
      <c r="J487" s="42"/>
      <c r="K487" s="42"/>
      <c r="L487" s="42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11"/>
      <c r="B488" s="11"/>
      <c r="C488" s="11"/>
      <c r="D488" s="11"/>
      <c r="E488" s="11"/>
      <c r="F488" s="11"/>
      <c r="G488" s="42"/>
      <c r="H488" s="42"/>
      <c r="I488" s="42"/>
      <c r="J488" s="42"/>
      <c r="K488" s="42"/>
      <c r="L488" s="42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11"/>
      <c r="B489" s="11"/>
      <c r="C489" s="11"/>
      <c r="D489" s="11"/>
      <c r="E489" s="11"/>
      <c r="F489" s="11"/>
      <c r="G489" s="42"/>
      <c r="H489" s="42"/>
      <c r="I489" s="42"/>
      <c r="J489" s="42"/>
      <c r="K489" s="42"/>
      <c r="L489" s="42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11"/>
      <c r="B490" s="11"/>
      <c r="C490" s="11"/>
      <c r="D490" s="11"/>
      <c r="E490" s="11"/>
      <c r="F490" s="11"/>
      <c r="G490" s="42"/>
      <c r="H490" s="42"/>
      <c r="I490" s="42"/>
      <c r="J490" s="42"/>
      <c r="K490" s="42"/>
      <c r="L490" s="42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11"/>
      <c r="B491" s="11"/>
      <c r="C491" s="11"/>
      <c r="D491" s="11"/>
      <c r="E491" s="11"/>
      <c r="F491" s="11"/>
      <c r="G491" s="42"/>
      <c r="H491" s="42"/>
      <c r="I491" s="42"/>
      <c r="J491" s="42"/>
      <c r="K491" s="42"/>
      <c r="L491" s="42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11"/>
      <c r="B492" s="11"/>
      <c r="C492" s="11"/>
      <c r="D492" s="11"/>
      <c r="E492" s="11"/>
      <c r="F492" s="11"/>
      <c r="G492" s="42"/>
      <c r="H492" s="42"/>
      <c r="I492" s="42"/>
      <c r="J492" s="42"/>
      <c r="K492" s="42"/>
      <c r="L492" s="42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11"/>
      <c r="B493" s="11"/>
      <c r="C493" s="11"/>
      <c r="D493" s="11"/>
      <c r="E493" s="11"/>
      <c r="F493" s="11"/>
      <c r="G493" s="42"/>
      <c r="H493" s="42"/>
      <c r="I493" s="42"/>
      <c r="J493" s="42"/>
      <c r="K493" s="42"/>
      <c r="L493" s="42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11"/>
      <c r="B494" s="11"/>
      <c r="C494" s="11"/>
      <c r="D494" s="11"/>
      <c r="E494" s="11"/>
      <c r="F494" s="11"/>
      <c r="G494" s="42"/>
      <c r="H494" s="42"/>
      <c r="I494" s="42"/>
      <c r="J494" s="42"/>
      <c r="K494" s="42"/>
      <c r="L494" s="42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11"/>
      <c r="B495" s="11"/>
      <c r="C495" s="11"/>
      <c r="D495" s="11"/>
      <c r="E495" s="11"/>
      <c r="F495" s="11"/>
      <c r="G495" s="42"/>
      <c r="H495" s="42"/>
      <c r="I495" s="42"/>
      <c r="J495" s="42"/>
      <c r="K495" s="42"/>
      <c r="L495" s="42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11"/>
      <c r="B496" s="11"/>
      <c r="C496" s="11"/>
      <c r="D496" s="11"/>
      <c r="E496" s="11"/>
      <c r="F496" s="11"/>
      <c r="G496" s="42"/>
      <c r="H496" s="42"/>
      <c r="I496" s="42"/>
      <c r="J496" s="42"/>
      <c r="K496" s="42"/>
      <c r="L496" s="42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11"/>
      <c r="B497" s="11"/>
      <c r="C497" s="11"/>
      <c r="D497" s="11"/>
      <c r="E497" s="11"/>
      <c r="F497" s="11"/>
      <c r="G497" s="42"/>
      <c r="H497" s="42"/>
      <c r="I497" s="42"/>
      <c r="J497" s="42"/>
      <c r="K497" s="42"/>
      <c r="L497" s="42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11"/>
      <c r="B498" s="11"/>
      <c r="C498" s="11"/>
      <c r="D498" s="11"/>
      <c r="E498" s="11"/>
      <c r="F498" s="11"/>
      <c r="G498" s="42"/>
      <c r="H498" s="42"/>
      <c r="I498" s="42"/>
      <c r="J498" s="42"/>
      <c r="K498" s="42"/>
      <c r="L498" s="42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11"/>
      <c r="B499" s="11"/>
      <c r="C499" s="11"/>
      <c r="D499" s="11"/>
      <c r="E499" s="11"/>
      <c r="F499" s="11"/>
      <c r="G499" s="42"/>
      <c r="H499" s="42"/>
      <c r="I499" s="42"/>
      <c r="J499" s="42"/>
      <c r="K499" s="42"/>
      <c r="L499" s="42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11"/>
      <c r="B500" s="11"/>
      <c r="C500" s="11"/>
      <c r="D500" s="11"/>
      <c r="E500" s="11"/>
      <c r="F500" s="11"/>
      <c r="G500" s="42"/>
      <c r="H500" s="42"/>
      <c r="I500" s="42"/>
      <c r="J500" s="42"/>
      <c r="K500" s="42"/>
      <c r="L500" s="42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11"/>
      <c r="B501" s="11"/>
      <c r="C501" s="11"/>
      <c r="D501" s="11"/>
      <c r="E501" s="11"/>
      <c r="F501" s="11"/>
      <c r="G501" s="42"/>
      <c r="H501" s="42"/>
      <c r="I501" s="42"/>
      <c r="J501" s="42"/>
      <c r="K501" s="42"/>
      <c r="L501" s="42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11"/>
      <c r="B502" s="11"/>
      <c r="C502" s="11"/>
      <c r="D502" s="11"/>
      <c r="E502" s="11"/>
      <c r="F502" s="11"/>
      <c r="G502" s="42"/>
      <c r="H502" s="42"/>
      <c r="I502" s="42"/>
      <c r="J502" s="42"/>
      <c r="K502" s="42"/>
      <c r="L502" s="42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11"/>
      <c r="B503" s="11"/>
      <c r="C503" s="11"/>
      <c r="D503" s="11"/>
      <c r="E503" s="11"/>
      <c r="F503" s="11"/>
      <c r="G503" s="42"/>
      <c r="H503" s="42"/>
      <c r="I503" s="42"/>
      <c r="J503" s="42"/>
      <c r="K503" s="42"/>
      <c r="L503" s="42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11"/>
      <c r="B504" s="11"/>
      <c r="C504" s="11"/>
      <c r="D504" s="11"/>
      <c r="E504" s="11"/>
      <c r="F504" s="11"/>
      <c r="G504" s="42"/>
      <c r="H504" s="42"/>
      <c r="I504" s="42"/>
      <c r="J504" s="42"/>
      <c r="K504" s="42"/>
      <c r="L504" s="42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11"/>
      <c r="B505" s="11"/>
      <c r="C505" s="11"/>
      <c r="D505" s="11"/>
      <c r="E505" s="11"/>
      <c r="F505" s="11"/>
      <c r="G505" s="42"/>
      <c r="H505" s="42"/>
      <c r="I505" s="42"/>
      <c r="J505" s="42"/>
      <c r="K505" s="42"/>
      <c r="L505" s="42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11"/>
      <c r="B506" s="11"/>
      <c r="C506" s="11"/>
      <c r="D506" s="11"/>
      <c r="E506" s="11"/>
      <c r="F506" s="11"/>
      <c r="G506" s="42"/>
      <c r="H506" s="42"/>
      <c r="I506" s="42"/>
      <c r="J506" s="42"/>
      <c r="K506" s="42"/>
      <c r="L506" s="42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11"/>
      <c r="B507" s="11"/>
      <c r="C507" s="11"/>
      <c r="D507" s="11"/>
      <c r="E507" s="11"/>
      <c r="F507" s="11"/>
      <c r="G507" s="42"/>
      <c r="H507" s="42"/>
      <c r="I507" s="42"/>
      <c r="J507" s="42"/>
      <c r="K507" s="42"/>
      <c r="L507" s="42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11"/>
      <c r="B508" s="11"/>
      <c r="C508" s="11"/>
      <c r="D508" s="11"/>
      <c r="E508" s="11"/>
      <c r="F508" s="11"/>
      <c r="G508" s="42"/>
      <c r="H508" s="42"/>
      <c r="I508" s="42"/>
      <c r="J508" s="42"/>
      <c r="K508" s="42"/>
      <c r="L508" s="42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11"/>
      <c r="B509" s="11"/>
      <c r="C509" s="11"/>
      <c r="D509" s="11"/>
      <c r="E509" s="11"/>
      <c r="F509" s="11"/>
      <c r="G509" s="42"/>
      <c r="H509" s="42"/>
      <c r="I509" s="42"/>
      <c r="J509" s="42"/>
      <c r="K509" s="42"/>
      <c r="L509" s="42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11"/>
      <c r="B510" s="11"/>
      <c r="C510" s="11"/>
      <c r="D510" s="11"/>
      <c r="E510" s="11"/>
      <c r="F510" s="11"/>
      <c r="G510" s="42"/>
      <c r="H510" s="42"/>
      <c r="I510" s="42"/>
      <c r="J510" s="42"/>
      <c r="K510" s="42"/>
      <c r="L510" s="42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11"/>
      <c r="B511" s="11"/>
      <c r="C511" s="11"/>
      <c r="D511" s="11"/>
      <c r="E511" s="11"/>
      <c r="F511" s="11"/>
      <c r="G511" s="42"/>
      <c r="H511" s="42"/>
      <c r="I511" s="42"/>
      <c r="J511" s="42"/>
      <c r="K511" s="42"/>
      <c r="L511" s="42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11"/>
      <c r="B512" s="11"/>
      <c r="C512" s="11"/>
      <c r="D512" s="11"/>
      <c r="E512" s="11"/>
      <c r="F512" s="11"/>
      <c r="G512" s="42"/>
      <c r="H512" s="42"/>
      <c r="I512" s="42"/>
      <c r="J512" s="42"/>
      <c r="K512" s="42"/>
      <c r="L512" s="42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11"/>
      <c r="B513" s="11"/>
      <c r="C513" s="11"/>
      <c r="D513" s="11"/>
      <c r="E513" s="11"/>
      <c r="F513" s="11"/>
      <c r="G513" s="42"/>
      <c r="H513" s="42"/>
      <c r="I513" s="42"/>
      <c r="J513" s="42"/>
      <c r="K513" s="42"/>
      <c r="L513" s="42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11"/>
      <c r="B514" s="11"/>
      <c r="C514" s="11"/>
      <c r="D514" s="11"/>
      <c r="E514" s="11"/>
      <c r="F514" s="11"/>
      <c r="G514" s="42"/>
      <c r="H514" s="42"/>
      <c r="I514" s="42"/>
      <c r="J514" s="42"/>
      <c r="K514" s="42"/>
      <c r="L514" s="42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11"/>
      <c r="B515" s="11"/>
      <c r="C515" s="11"/>
      <c r="D515" s="11"/>
      <c r="E515" s="11"/>
      <c r="F515" s="11"/>
      <c r="G515" s="42"/>
      <c r="H515" s="42"/>
      <c r="I515" s="42"/>
      <c r="J515" s="42"/>
      <c r="K515" s="42"/>
      <c r="L515" s="42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11"/>
      <c r="B516" s="11"/>
      <c r="C516" s="11"/>
      <c r="D516" s="11"/>
      <c r="E516" s="11"/>
      <c r="F516" s="11"/>
      <c r="G516" s="42"/>
      <c r="H516" s="42"/>
      <c r="I516" s="42"/>
      <c r="J516" s="42"/>
      <c r="K516" s="42"/>
      <c r="L516" s="42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11"/>
      <c r="B517" s="11"/>
      <c r="C517" s="11"/>
      <c r="D517" s="11"/>
      <c r="E517" s="11"/>
      <c r="F517" s="11"/>
      <c r="G517" s="42"/>
      <c r="H517" s="42"/>
      <c r="I517" s="42"/>
      <c r="J517" s="42"/>
      <c r="K517" s="42"/>
      <c r="L517" s="42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11"/>
      <c r="B518" s="11"/>
      <c r="C518" s="11"/>
      <c r="D518" s="11"/>
      <c r="E518" s="11"/>
      <c r="F518" s="11"/>
      <c r="G518" s="42"/>
      <c r="H518" s="42"/>
      <c r="I518" s="42"/>
      <c r="J518" s="42"/>
      <c r="K518" s="42"/>
      <c r="L518" s="42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11"/>
      <c r="B519" s="11"/>
      <c r="C519" s="11"/>
      <c r="D519" s="11"/>
      <c r="E519" s="11"/>
      <c r="F519" s="11"/>
      <c r="G519" s="42"/>
      <c r="H519" s="42"/>
      <c r="I519" s="42"/>
      <c r="J519" s="42"/>
      <c r="K519" s="42"/>
      <c r="L519" s="42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11"/>
      <c r="B520" s="11"/>
      <c r="C520" s="11"/>
      <c r="D520" s="11"/>
      <c r="E520" s="11"/>
      <c r="F520" s="11"/>
      <c r="G520" s="42"/>
      <c r="H520" s="42"/>
      <c r="I520" s="42"/>
      <c r="J520" s="42"/>
      <c r="K520" s="42"/>
      <c r="L520" s="42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11"/>
      <c r="B521" s="11"/>
      <c r="C521" s="11"/>
      <c r="D521" s="11"/>
      <c r="E521" s="11"/>
      <c r="F521" s="11"/>
      <c r="G521" s="42"/>
      <c r="H521" s="42"/>
      <c r="I521" s="42"/>
      <c r="J521" s="42"/>
      <c r="K521" s="42"/>
      <c r="L521" s="42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11"/>
      <c r="B522" s="11"/>
      <c r="C522" s="11"/>
      <c r="D522" s="11"/>
      <c r="E522" s="11"/>
      <c r="F522" s="11"/>
      <c r="G522" s="42"/>
      <c r="H522" s="42"/>
      <c r="I522" s="42"/>
      <c r="J522" s="42"/>
      <c r="K522" s="42"/>
      <c r="L522" s="42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11"/>
      <c r="B523" s="11"/>
      <c r="C523" s="11"/>
      <c r="D523" s="11"/>
      <c r="E523" s="11"/>
      <c r="F523" s="11"/>
      <c r="G523" s="42"/>
      <c r="H523" s="42"/>
      <c r="I523" s="42"/>
      <c r="J523" s="42"/>
      <c r="K523" s="42"/>
      <c r="L523" s="42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11"/>
      <c r="B524" s="11"/>
      <c r="C524" s="11"/>
      <c r="D524" s="11"/>
      <c r="E524" s="11"/>
      <c r="F524" s="11"/>
      <c r="G524" s="42"/>
      <c r="H524" s="42"/>
      <c r="I524" s="42"/>
      <c r="J524" s="42"/>
      <c r="K524" s="42"/>
      <c r="L524" s="42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11"/>
      <c r="B525" s="11"/>
      <c r="C525" s="11"/>
      <c r="D525" s="11"/>
      <c r="E525" s="11"/>
      <c r="F525" s="11"/>
      <c r="G525" s="42"/>
      <c r="H525" s="42"/>
      <c r="I525" s="42"/>
      <c r="J525" s="42"/>
      <c r="K525" s="42"/>
      <c r="L525" s="42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11"/>
      <c r="B526" s="11"/>
      <c r="C526" s="11"/>
      <c r="D526" s="11"/>
      <c r="E526" s="11"/>
      <c r="F526" s="11"/>
      <c r="G526" s="42"/>
      <c r="H526" s="42"/>
      <c r="I526" s="42"/>
      <c r="J526" s="42"/>
      <c r="K526" s="42"/>
      <c r="L526" s="42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11"/>
      <c r="B527" s="11"/>
      <c r="C527" s="11"/>
      <c r="D527" s="11"/>
      <c r="E527" s="11"/>
      <c r="F527" s="11"/>
      <c r="G527" s="42"/>
      <c r="H527" s="42"/>
      <c r="I527" s="42"/>
      <c r="J527" s="42"/>
      <c r="K527" s="42"/>
      <c r="L527" s="42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11"/>
      <c r="B528" s="11"/>
      <c r="C528" s="11"/>
      <c r="D528" s="11"/>
      <c r="E528" s="11"/>
      <c r="F528" s="11"/>
      <c r="G528" s="42"/>
      <c r="H528" s="42"/>
      <c r="I528" s="42"/>
      <c r="J528" s="42"/>
      <c r="K528" s="42"/>
      <c r="L528" s="42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11"/>
      <c r="B529" s="11"/>
      <c r="C529" s="11"/>
      <c r="D529" s="11"/>
      <c r="E529" s="11"/>
      <c r="F529" s="11"/>
      <c r="G529" s="42"/>
      <c r="H529" s="42"/>
      <c r="I529" s="42"/>
      <c r="J529" s="42"/>
      <c r="K529" s="42"/>
      <c r="L529" s="42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11"/>
      <c r="C530" s="11"/>
      <c r="D530" s="11"/>
      <c r="E530" s="11"/>
      <c r="F530" s="11"/>
      <c r="G530" s="42"/>
      <c r="H530" s="42"/>
      <c r="I530" s="42"/>
      <c r="J530" s="42"/>
      <c r="K530" s="42"/>
      <c r="L530" s="42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11"/>
      <c r="B531" s="11"/>
      <c r="C531" s="11"/>
      <c r="D531" s="11"/>
      <c r="E531" s="11"/>
      <c r="F531" s="11"/>
      <c r="G531" s="42"/>
      <c r="H531" s="42"/>
      <c r="I531" s="42"/>
      <c r="J531" s="42"/>
      <c r="K531" s="42"/>
      <c r="L531" s="42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11"/>
      <c r="B532" s="11"/>
      <c r="C532" s="11"/>
      <c r="D532" s="11"/>
      <c r="E532" s="11"/>
      <c r="F532" s="11"/>
      <c r="G532" s="42"/>
      <c r="H532" s="42"/>
      <c r="I532" s="42"/>
      <c r="J532" s="42"/>
      <c r="K532" s="42"/>
      <c r="L532" s="42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11"/>
      <c r="B533" s="11"/>
      <c r="C533" s="11"/>
      <c r="D533" s="11"/>
      <c r="E533" s="11"/>
      <c r="F533" s="11"/>
      <c r="G533" s="42"/>
      <c r="H533" s="42"/>
      <c r="I533" s="42"/>
      <c r="J533" s="42"/>
      <c r="K533" s="42"/>
      <c r="L533" s="42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11"/>
      <c r="B534" s="11"/>
      <c r="C534" s="11"/>
      <c r="D534" s="11"/>
      <c r="E534" s="11"/>
      <c r="F534" s="11"/>
      <c r="G534" s="42"/>
      <c r="H534" s="42"/>
      <c r="I534" s="42"/>
      <c r="J534" s="42"/>
      <c r="K534" s="42"/>
      <c r="L534" s="42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11"/>
      <c r="B535" s="11"/>
      <c r="C535" s="11"/>
      <c r="D535" s="11"/>
      <c r="E535" s="11"/>
      <c r="F535" s="11"/>
      <c r="G535" s="42"/>
      <c r="H535" s="42"/>
      <c r="I535" s="42"/>
      <c r="J535" s="42"/>
      <c r="K535" s="42"/>
      <c r="L535" s="42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11"/>
      <c r="B536" s="11"/>
      <c r="C536" s="11"/>
      <c r="D536" s="11"/>
      <c r="E536" s="11"/>
      <c r="F536" s="11"/>
      <c r="G536" s="42"/>
      <c r="H536" s="42"/>
      <c r="I536" s="42"/>
      <c r="J536" s="42"/>
      <c r="K536" s="42"/>
      <c r="L536" s="42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11"/>
      <c r="B537" s="11"/>
      <c r="C537" s="11"/>
      <c r="D537" s="11"/>
      <c r="E537" s="11"/>
      <c r="F537" s="11"/>
      <c r="G537" s="42"/>
      <c r="H537" s="42"/>
      <c r="I537" s="42"/>
      <c r="J537" s="42"/>
      <c r="K537" s="42"/>
      <c r="L537" s="42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11"/>
      <c r="B538" s="11"/>
      <c r="C538" s="11"/>
      <c r="D538" s="11"/>
      <c r="E538" s="11"/>
      <c r="F538" s="11"/>
      <c r="G538" s="42"/>
      <c r="H538" s="42"/>
      <c r="I538" s="42"/>
      <c r="J538" s="42"/>
      <c r="K538" s="42"/>
      <c r="L538" s="42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11"/>
      <c r="B539" s="11"/>
      <c r="C539" s="11"/>
      <c r="D539" s="11"/>
      <c r="E539" s="11"/>
      <c r="F539" s="11"/>
      <c r="G539" s="42"/>
      <c r="H539" s="42"/>
      <c r="I539" s="42"/>
      <c r="J539" s="42"/>
      <c r="K539" s="42"/>
      <c r="L539" s="42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11"/>
      <c r="B540" s="11"/>
      <c r="C540" s="11"/>
      <c r="D540" s="11"/>
      <c r="E540" s="11"/>
      <c r="F540" s="11"/>
      <c r="G540" s="42"/>
      <c r="H540" s="42"/>
      <c r="I540" s="42"/>
      <c r="J540" s="42"/>
      <c r="K540" s="42"/>
      <c r="L540" s="42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11"/>
      <c r="B541" s="11"/>
      <c r="C541" s="11"/>
      <c r="D541" s="11"/>
      <c r="E541" s="11"/>
      <c r="F541" s="11"/>
      <c r="G541" s="42"/>
      <c r="H541" s="42"/>
      <c r="I541" s="42"/>
      <c r="J541" s="42"/>
      <c r="K541" s="42"/>
      <c r="L541" s="42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11"/>
      <c r="B542" s="11"/>
      <c r="C542" s="11"/>
      <c r="D542" s="11"/>
      <c r="E542" s="11"/>
      <c r="F542" s="11"/>
      <c r="G542" s="42"/>
      <c r="H542" s="42"/>
      <c r="I542" s="42"/>
      <c r="J542" s="42"/>
      <c r="K542" s="42"/>
      <c r="L542" s="42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11"/>
      <c r="B543" s="11"/>
      <c r="C543" s="11"/>
      <c r="D543" s="11"/>
      <c r="E543" s="11"/>
      <c r="F543" s="11"/>
      <c r="G543" s="42"/>
      <c r="H543" s="42"/>
      <c r="I543" s="42"/>
      <c r="J543" s="42"/>
      <c r="K543" s="42"/>
      <c r="L543" s="42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11"/>
      <c r="B544" s="11"/>
      <c r="C544" s="11"/>
      <c r="D544" s="11"/>
      <c r="E544" s="11"/>
      <c r="F544" s="11"/>
      <c r="G544" s="42"/>
      <c r="H544" s="42"/>
      <c r="I544" s="42"/>
      <c r="J544" s="42"/>
      <c r="K544" s="42"/>
      <c r="L544" s="42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11"/>
      <c r="B545" s="11"/>
      <c r="C545" s="11"/>
      <c r="D545" s="11"/>
      <c r="E545" s="11"/>
      <c r="F545" s="11"/>
      <c r="G545" s="42"/>
      <c r="H545" s="42"/>
      <c r="I545" s="42"/>
      <c r="J545" s="42"/>
      <c r="K545" s="42"/>
      <c r="L545" s="42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11"/>
      <c r="B546" s="11"/>
      <c r="C546" s="11"/>
      <c r="D546" s="11"/>
      <c r="E546" s="11"/>
      <c r="F546" s="11"/>
      <c r="G546" s="42"/>
      <c r="H546" s="42"/>
      <c r="I546" s="42"/>
      <c r="J546" s="42"/>
      <c r="K546" s="42"/>
      <c r="L546" s="42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11"/>
      <c r="B547" s="11"/>
      <c r="C547" s="11"/>
      <c r="D547" s="11"/>
      <c r="E547" s="11"/>
      <c r="F547" s="11"/>
      <c r="G547" s="42"/>
      <c r="H547" s="42"/>
      <c r="I547" s="42"/>
      <c r="J547" s="42"/>
      <c r="K547" s="42"/>
      <c r="L547" s="42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11"/>
      <c r="B548" s="11"/>
      <c r="C548" s="11"/>
      <c r="D548" s="11"/>
      <c r="E548" s="11"/>
      <c r="F548" s="11"/>
      <c r="G548" s="42"/>
      <c r="H548" s="42"/>
      <c r="I548" s="42"/>
      <c r="J548" s="42"/>
      <c r="K548" s="42"/>
      <c r="L548" s="42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11"/>
      <c r="B549" s="11"/>
      <c r="C549" s="11"/>
      <c r="D549" s="11"/>
      <c r="E549" s="11"/>
      <c r="F549" s="11"/>
      <c r="G549" s="42"/>
      <c r="H549" s="42"/>
      <c r="I549" s="42"/>
      <c r="J549" s="42"/>
      <c r="K549" s="42"/>
      <c r="L549" s="42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11"/>
      <c r="B550" s="11"/>
      <c r="C550" s="11"/>
      <c r="D550" s="11"/>
      <c r="E550" s="11"/>
      <c r="F550" s="11"/>
      <c r="G550" s="42"/>
      <c r="H550" s="42"/>
      <c r="I550" s="42"/>
      <c r="J550" s="42"/>
      <c r="K550" s="42"/>
      <c r="L550" s="42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11"/>
      <c r="B551" s="11"/>
      <c r="C551" s="11"/>
      <c r="D551" s="11"/>
      <c r="E551" s="11"/>
      <c r="F551" s="11"/>
      <c r="G551" s="42"/>
      <c r="H551" s="42"/>
      <c r="I551" s="42"/>
      <c r="J551" s="42"/>
      <c r="K551" s="42"/>
      <c r="L551" s="42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11"/>
      <c r="B552" s="11"/>
      <c r="C552" s="11"/>
      <c r="D552" s="11"/>
      <c r="E552" s="11"/>
      <c r="F552" s="11"/>
      <c r="G552" s="42"/>
      <c r="H552" s="42"/>
      <c r="I552" s="42"/>
      <c r="J552" s="42"/>
      <c r="K552" s="42"/>
      <c r="L552" s="42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11"/>
      <c r="B553" s="11"/>
      <c r="C553" s="11"/>
      <c r="D553" s="11"/>
      <c r="E553" s="11"/>
      <c r="F553" s="11"/>
      <c r="G553" s="42"/>
      <c r="H553" s="42"/>
      <c r="I553" s="42"/>
      <c r="J553" s="42"/>
      <c r="K553" s="42"/>
      <c r="L553" s="42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11"/>
      <c r="B554" s="11"/>
      <c r="C554" s="11"/>
      <c r="D554" s="11"/>
      <c r="E554" s="11"/>
      <c r="F554" s="11"/>
      <c r="G554" s="42"/>
      <c r="H554" s="42"/>
      <c r="I554" s="42"/>
      <c r="J554" s="42"/>
      <c r="K554" s="42"/>
      <c r="L554" s="42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11"/>
      <c r="B555" s="11"/>
      <c r="C555" s="11"/>
      <c r="D555" s="11"/>
      <c r="E555" s="11"/>
      <c r="F555" s="11"/>
      <c r="G555" s="42"/>
      <c r="H555" s="42"/>
      <c r="I555" s="42"/>
      <c r="J555" s="42"/>
      <c r="K555" s="42"/>
      <c r="L555" s="42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11"/>
      <c r="B556" s="11"/>
      <c r="C556" s="11"/>
      <c r="D556" s="11"/>
      <c r="E556" s="11"/>
      <c r="F556" s="11"/>
      <c r="G556" s="42"/>
      <c r="H556" s="42"/>
      <c r="I556" s="42"/>
      <c r="J556" s="42"/>
      <c r="K556" s="42"/>
      <c r="L556" s="42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11"/>
      <c r="B557" s="11"/>
      <c r="C557" s="11"/>
      <c r="D557" s="11"/>
      <c r="E557" s="11"/>
      <c r="F557" s="11"/>
      <c r="G557" s="42"/>
      <c r="H557" s="42"/>
      <c r="I557" s="42"/>
      <c r="J557" s="42"/>
      <c r="K557" s="42"/>
      <c r="L557" s="42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11"/>
      <c r="B558" s="11"/>
      <c r="C558" s="11"/>
      <c r="D558" s="11"/>
      <c r="E558" s="11"/>
      <c r="F558" s="11"/>
      <c r="G558" s="42"/>
      <c r="H558" s="42"/>
      <c r="I558" s="42"/>
      <c r="J558" s="42"/>
      <c r="K558" s="42"/>
      <c r="L558" s="42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11"/>
      <c r="B559" s="11"/>
      <c r="C559" s="11"/>
      <c r="D559" s="11"/>
      <c r="E559" s="11"/>
      <c r="F559" s="11"/>
      <c r="G559" s="42"/>
      <c r="H559" s="42"/>
      <c r="I559" s="42"/>
      <c r="J559" s="42"/>
      <c r="K559" s="42"/>
      <c r="L559" s="42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11"/>
      <c r="B560" s="11"/>
      <c r="C560" s="11"/>
      <c r="D560" s="11"/>
      <c r="E560" s="11"/>
      <c r="F560" s="11"/>
      <c r="G560" s="42"/>
      <c r="H560" s="42"/>
      <c r="I560" s="42"/>
      <c r="J560" s="42"/>
      <c r="K560" s="42"/>
      <c r="L560" s="42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11"/>
      <c r="B561" s="11"/>
      <c r="C561" s="11"/>
      <c r="D561" s="11"/>
      <c r="E561" s="11"/>
      <c r="F561" s="11"/>
      <c r="G561" s="42"/>
      <c r="H561" s="42"/>
      <c r="I561" s="42"/>
      <c r="J561" s="42"/>
      <c r="K561" s="42"/>
      <c r="L561" s="42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11"/>
      <c r="B562" s="11"/>
      <c r="C562" s="11"/>
      <c r="D562" s="11"/>
      <c r="E562" s="11"/>
      <c r="F562" s="11"/>
      <c r="G562" s="42"/>
      <c r="H562" s="42"/>
      <c r="I562" s="42"/>
      <c r="J562" s="42"/>
      <c r="K562" s="42"/>
      <c r="L562" s="42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11"/>
      <c r="B563" s="11"/>
      <c r="C563" s="11"/>
      <c r="D563" s="11"/>
      <c r="E563" s="11"/>
      <c r="F563" s="11"/>
      <c r="G563" s="42"/>
      <c r="H563" s="42"/>
      <c r="I563" s="42"/>
      <c r="J563" s="42"/>
      <c r="K563" s="42"/>
      <c r="L563" s="42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11"/>
      <c r="B564" s="11"/>
      <c r="C564" s="11"/>
      <c r="D564" s="11"/>
      <c r="E564" s="11"/>
      <c r="F564" s="11"/>
      <c r="G564" s="42"/>
      <c r="H564" s="42"/>
      <c r="I564" s="42"/>
      <c r="J564" s="42"/>
      <c r="K564" s="42"/>
      <c r="L564" s="42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11"/>
      <c r="B565" s="11"/>
      <c r="C565" s="11"/>
      <c r="D565" s="11"/>
      <c r="E565" s="11"/>
      <c r="F565" s="11"/>
      <c r="G565" s="42"/>
      <c r="H565" s="42"/>
      <c r="I565" s="42"/>
      <c r="J565" s="42"/>
      <c r="K565" s="42"/>
      <c r="L565" s="42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11"/>
      <c r="B566" s="11"/>
      <c r="C566" s="11"/>
      <c r="D566" s="11"/>
      <c r="E566" s="11"/>
      <c r="F566" s="11"/>
      <c r="G566" s="42"/>
      <c r="H566" s="42"/>
      <c r="I566" s="42"/>
      <c r="J566" s="42"/>
      <c r="K566" s="42"/>
      <c r="L566" s="42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11"/>
      <c r="B567" s="11"/>
      <c r="C567" s="11"/>
      <c r="D567" s="11"/>
      <c r="E567" s="11"/>
      <c r="F567" s="11"/>
      <c r="G567" s="42"/>
      <c r="H567" s="42"/>
      <c r="I567" s="42"/>
      <c r="J567" s="42"/>
      <c r="K567" s="42"/>
      <c r="L567" s="42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11"/>
      <c r="B568" s="11"/>
      <c r="C568" s="11"/>
      <c r="D568" s="11"/>
      <c r="E568" s="11"/>
      <c r="F568" s="11"/>
      <c r="G568" s="42"/>
      <c r="H568" s="42"/>
      <c r="I568" s="42"/>
      <c r="J568" s="42"/>
      <c r="K568" s="42"/>
      <c r="L568" s="42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11"/>
      <c r="B569" s="11"/>
      <c r="C569" s="11"/>
      <c r="D569" s="11"/>
      <c r="E569" s="11"/>
      <c r="F569" s="11"/>
      <c r="G569" s="42"/>
      <c r="H569" s="42"/>
      <c r="I569" s="42"/>
      <c r="J569" s="42"/>
      <c r="K569" s="42"/>
      <c r="L569" s="42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11"/>
      <c r="B570" s="11"/>
      <c r="C570" s="11"/>
      <c r="D570" s="11"/>
      <c r="E570" s="11"/>
      <c r="F570" s="11"/>
      <c r="G570" s="42"/>
      <c r="H570" s="42"/>
      <c r="I570" s="42"/>
      <c r="J570" s="42"/>
      <c r="K570" s="42"/>
      <c r="L570" s="42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11"/>
      <c r="B571" s="11"/>
      <c r="C571" s="11"/>
      <c r="D571" s="11"/>
      <c r="E571" s="11"/>
      <c r="F571" s="11"/>
      <c r="G571" s="42"/>
      <c r="H571" s="42"/>
      <c r="I571" s="42"/>
      <c r="J571" s="42"/>
      <c r="K571" s="42"/>
      <c r="L571" s="42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11"/>
      <c r="B572" s="11"/>
      <c r="C572" s="11"/>
      <c r="D572" s="11"/>
      <c r="E572" s="11"/>
      <c r="F572" s="11"/>
      <c r="G572" s="42"/>
      <c r="H572" s="42"/>
      <c r="I572" s="42"/>
      <c r="J572" s="42"/>
      <c r="K572" s="42"/>
      <c r="L572" s="42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11"/>
      <c r="B573" s="11"/>
      <c r="C573" s="11"/>
      <c r="D573" s="11"/>
      <c r="E573" s="11"/>
      <c r="F573" s="11"/>
      <c r="G573" s="42"/>
      <c r="H573" s="42"/>
      <c r="I573" s="42"/>
      <c r="J573" s="42"/>
      <c r="K573" s="42"/>
      <c r="L573" s="42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11"/>
      <c r="B574" s="11"/>
      <c r="C574" s="11"/>
      <c r="D574" s="11"/>
      <c r="E574" s="11"/>
      <c r="F574" s="11"/>
      <c r="G574" s="42"/>
      <c r="H574" s="42"/>
      <c r="I574" s="42"/>
      <c r="J574" s="42"/>
      <c r="K574" s="42"/>
      <c r="L574" s="42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11"/>
      <c r="B575" s="11"/>
      <c r="C575" s="11"/>
      <c r="D575" s="11"/>
      <c r="E575" s="11"/>
      <c r="F575" s="11"/>
      <c r="G575" s="42"/>
      <c r="H575" s="42"/>
      <c r="I575" s="42"/>
      <c r="J575" s="42"/>
      <c r="K575" s="42"/>
      <c r="L575" s="42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11"/>
      <c r="B576" s="11"/>
      <c r="C576" s="11"/>
      <c r="D576" s="11"/>
      <c r="E576" s="11"/>
      <c r="F576" s="11"/>
      <c r="G576" s="42"/>
      <c r="H576" s="42"/>
      <c r="I576" s="42"/>
      <c r="J576" s="42"/>
      <c r="K576" s="42"/>
      <c r="L576" s="42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11"/>
      <c r="B577" s="11"/>
      <c r="C577" s="11"/>
      <c r="D577" s="11"/>
      <c r="E577" s="11"/>
      <c r="F577" s="11"/>
      <c r="G577" s="42"/>
      <c r="H577" s="42"/>
      <c r="I577" s="42"/>
      <c r="J577" s="42"/>
      <c r="K577" s="42"/>
      <c r="L577" s="42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11"/>
      <c r="B578" s="11"/>
      <c r="C578" s="11"/>
      <c r="D578" s="11"/>
      <c r="E578" s="11"/>
      <c r="F578" s="11"/>
      <c r="G578" s="42"/>
      <c r="H578" s="42"/>
      <c r="I578" s="42"/>
      <c r="J578" s="42"/>
      <c r="K578" s="42"/>
      <c r="L578" s="42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11"/>
      <c r="B579" s="11"/>
      <c r="C579" s="11"/>
      <c r="D579" s="11"/>
      <c r="E579" s="11"/>
      <c r="F579" s="11"/>
      <c r="G579" s="42"/>
      <c r="H579" s="42"/>
      <c r="I579" s="42"/>
      <c r="J579" s="42"/>
      <c r="K579" s="42"/>
      <c r="L579" s="42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11"/>
      <c r="B580" s="11"/>
      <c r="C580" s="11"/>
      <c r="D580" s="11"/>
      <c r="E580" s="11"/>
      <c r="F580" s="11"/>
      <c r="G580" s="42"/>
      <c r="H580" s="42"/>
      <c r="I580" s="42"/>
      <c r="J580" s="42"/>
      <c r="K580" s="42"/>
      <c r="L580" s="42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11"/>
      <c r="B581" s="11"/>
      <c r="C581" s="11"/>
      <c r="D581" s="11"/>
      <c r="E581" s="11"/>
      <c r="F581" s="11"/>
      <c r="G581" s="42"/>
      <c r="H581" s="42"/>
      <c r="I581" s="42"/>
      <c r="J581" s="42"/>
      <c r="K581" s="42"/>
      <c r="L581" s="42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11"/>
      <c r="B582" s="11"/>
      <c r="C582" s="11"/>
      <c r="D582" s="11"/>
      <c r="E582" s="11"/>
      <c r="F582" s="11"/>
      <c r="G582" s="42"/>
      <c r="H582" s="42"/>
      <c r="I582" s="42"/>
      <c r="J582" s="42"/>
      <c r="K582" s="42"/>
      <c r="L582" s="42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11"/>
      <c r="B583" s="11"/>
      <c r="C583" s="11"/>
      <c r="D583" s="11"/>
      <c r="E583" s="11"/>
      <c r="F583" s="11"/>
      <c r="G583" s="42"/>
      <c r="H583" s="42"/>
      <c r="I583" s="42"/>
      <c r="J583" s="42"/>
      <c r="K583" s="42"/>
      <c r="L583" s="42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11"/>
      <c r="B584" s="11"/>
      <c r="C584" s="11"/>
      <c r="D584" s="11"/>
      <c r="E584" s="11"/>
      <c r="F584" s="11"/>
      <c r="G584" s="42"/>
      <c r="H584" s="42"/>
      <c r="I584" s="42"/>
      <c r="J584" s="42"/>
      <c r="K584" s="42"/>
      <c r="L584" s="42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11"/>
      <c r="B585" s="11"/>
      <c r="C585" s="11"/>
      <c r="D585" s="11"/>
      <c r="E585" s="11"/>
      <c r="F585" s="11"/>
      <c r="G585" s="42"/>
      <c r="H585" s="42"/>
      <c r="I585" s="42"/>
      <c r="J585" s="42"/>
      <c r="K585" s="42"/>
      <c r="L585" s="42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11"/>
      <c r="B586" s="11"/>
      <c r="C586" s="11"/>
      <c r="D586" s="11"/>
      <c r="E586" s="11"/>
      <c r="F586" s="11"/>
      <c r="G586" s="42"/>
      <c r="H586" s="42"/>
      <c r="I586" s="42"/>
      <c r="J586" s="42"/>
      <c r="K586" s="42"/>
      <c r="L586" s="42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11"/>
      <c r="B587" s="11"/>
      <c r="C587" s="11"/>
      <c r="D587" s="11"/>
      <c r="E587" s="11"/>
      <c r="F587" s="11"/>
      <c r="G587" s="42"/>
      <c r="H587" s="42"/>
      <c r="I587" s="42"/>
      <c r="J587" s="42"/>
      <c r="K587" s="42"/>
      <c r="L587" s="42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11"/>
      <c r="B588" s="11"/>
      <c r="C588" s="11"/>
      <c r="D588" s="11"/>
      <c r="E588" s="11"/>
      <c r="F588" s="11"/>
      <c r="G588" s="42"/>
      <c r="H588" s="42"/>
      <c r="I588" s="42"/>
      <c r="J588" s="42"/>
      <c r="K588" s="42"/>
      <c r="L588" s="42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11"/>
      <c r="B589" s="11"/>
      <c r="C589" s="11"/>
      <c r="D589" s="11"/>
      <c r="E589" s="11"/>
      <c r="F589" s="11"/>
      <c r="G589" s="42"/>
      <c r="H589" s="42"/>
      <c r="I589" s="42"/>
      <c r="J589" s="42"/>
      <c r="K589" s="42"/>
      <c r="L589" s="42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11"/>
      <c r="B590" s="11"/>
      <c r="C590" s="11"/>
      <c r="D590" s="11"/>
      <c r="E590" s="11"/>
      <c r="F590" s="11"/>
      <c r="G590" s="42"/>
      <c r="H590" s="42"/>
      <c r="I590" s="42"/>
      <c r="J590" s="42"/>
      <c r="K590" s="42"/>
      <c r="L590" s="42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11"/>
      <c r="B591" s="11"/>
      <c r="C591" s="11"/>
      <c r="D591" s="11"/>
      <c r="E591" s="11"/>
      <c r="F591" s="11"/>
      <c r="G591" s="42"/>
      <c r="H591" s="42"/>
      <c r="I591" s="42"/>
      <c r="J591" s="42"/>
      <c r="K591" s="42"/>
      <c r="L591" s="42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11"/>
      <c r="B592" s="11"/>
      <c r="C592" s="11"/>
      <c r="D592" s="11"/>
      <c r="E592" s="11"/>
      <c r="F592" s="11"/>
      <c r="G592" s="42"/>
      <c r="H592" s="42"/>
      <c r="I592" s="42"/>
      <c r="J592" s="42"/>
      <c r="K592" s="42"/>
      <c r="L592" s="42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11"/>
      <c r="B593" s="11"/>
      <c r="C593" s="11"/>
      <c r="D593" s="11"/>
      <c r="E593" s="11"/>
      <c r="F593" s="11"/>
      <c r="G593" s="42"/>
      <c r="H593" s="42"/>
      <c r="I593" s="42"/>
      <c r="J593" s="42"/>
      <c r="K593" s="42"/>
      <c r="L593" s="42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11"/>
      <c r="B594" s="11"/>
      <c r="C594" s="11"/>
      <c r="D594" s="11"/>
      <c r="E594" s="11"/>
      <c r="F594" s="11"/>
      <c r="G594" s="42"/>
      <c r="H594" s="42"/>
      <c r="I594" s="42"/>
      <c r="J594" s="42"/>
      <c r="K594" s="42"/>
      <c r="L594" s="42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11"/>
      <c r="B595" s="11"/>
      <c r="C595" s="11"/>
      <c r="D595" s="11"/>
      <c r="E595" s="11"/>
      <c r="F595" s="11"/>
      <c r="G595" s="42"/>
      <c r="H595" s="42"/>
      <c r="I595" s="42"/>
      <c r="J595" s="42"/>
      <c r="K595" s="42"/>
      <c r="L595" s="42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11"/>
      <c r="B596" s="11"/>
      <c r="C596" s="11"/>
      <c r="D596" s="11"/>
      <c r="E596" s="11"/>
      <c r="F596" s="11"/>
      <c r="G596" s="42"/>
      <c r="H596" s="42"/>
      <c r="I596" s="42"/>
      <c r="J596" s="42"/>
      <c r="K596" s="42"/>
      <c r="L596" s="42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11"/>
      <c r="B597" s="11"/>
      <c r="C597" s="11"/>
      <c r="D597" s="11"/>
      <c r="E597" s="11"/>
      <c r="F597" s="11"/>
      <c r="G597" s="42"/>
      <c r="H597" s="42"/>
      <c r="I597" s="42"/>
      <c r="J597" s="42"/>
      <c r="K597" s="42"/>
      <c r="L597" s="42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11"/>
      <c r="B598" s="11"/>
      <c r="C598" s="11"/>
      <c r="D598" s="11"/>
      <c r="E598" s="11"/>
      <c r="F598" s="11"/>
      <c r="G598" s="42"/>
      <c r="H598" s="42"/>
      <c r="I598" s="42"/>
      <c r="J598" s="42"/>
      <c r="K598" s="42"/>
      <c r="L598" s="42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11"/>
      <c r="B599" s="11"/>
      <c r="C599" s="11"/>
      <c r="D599" s="11"/>
      <c r="E599" s="11"/>
      <c r="F599" s="11"/>
      <c r="G599" s="42"/>
      <c r="H599" s="42"/>
      <c r="I599" s="42"/>
      <c r="J599" s="42"/>
      <c r="K599" s="42"/>
      <c r="L599" s="42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11"/>
      <c r="B600" s="11"/>
      <c r="C600" s="11"/>
      <c r="D600" s="11"/>
      <c r="E600" s="11"/>
      <c r="F600" s="11"/>
      <c r="G600" s="42"/>
      <c r="H600" s="42"/>
      <c r="I600" s="42"/>
      <c r="J600" s="42"/>
      <c r="K600" s="42"/>
      <c r="L600" s="42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11"/>
      <c r="B601" s="11"/>
      <c r="C601" s="11"/>
      <c r="D601" s="11"/>
      <c r="E601" s="11"/>
      <c r="F601" s="11"/>
      <c r="G601" s="42"/>
      <c r="H601" s="42"/>
      <c r="I601" s="42"/>
      <c r="J601" s="42"/>
      <c r="K601" s="42"/>
      <c r="L601" s="42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11"/>
      <c r="B602" s="11"/>
      <c r="C602" s="11"/>
      <c r="D602" s="11"/>
      <c r="E602" s="11"/>
      <c r="F602" s="11"/>
      <c r="G602" s="42"/>
      <c r="H602" s="42"/>
      <c r="I602" s="42"/>
      <c r="J602" s="42"/>
      <c r="K602" s="42"/>
      <c r="L602" s="42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11"/>
      <c r="B603" s="11"/>
      <c r="C603" s="11"/>
      <c r="D603" s="11"/>
      <c r="E603" s="11"/>
      <c r="F603" s="11"/>
      <c r="G603" s="42"/>
      <c r="H603" s="42"/>
      <c r="I603" s="42"/>
      <c r="J603" s="42"/>
      <c r="K603" s="42"/>
      <c r="L603" s="42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11"/>
      <c r="B604" s="11"/>
      <c r="C604" s="11"/>
      <c r="D604" s="11"/>
      <c r="E604" s="11"/>
      <c r="F604" s="11"/>
      <c r="G604" s="42"/>
      <c r="H604" s="42"/>
      <c r="I604" s="42"/>
      <c r="J604" s="42"/>
      <c r="K604" s="42"/>
      <c r="L604" s="42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11"/>
      <c r="B605" s="11"/>
      <c r="C605" s="11"/>
      <c r="D605" s="11"/>
      <c r="E605" s="11"/>
      <c r="F605" s="11"/>
      <c r="G605" s="42"/>
      <c r="H605" s="42"/>
      <c r="I605" s="42"/>
      <c r="J605" s="42"/>
      <c r="K605" s="42"/>
      <c r="L605" s="42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11"/>
      <c r="B606" s="11"/>
      <c r="C606" s="11"/>
      <c r="D606" s="11"/>
      <c r="E606" s="11"/>
      <c r="F606" s="11"/>
      <c r="G606" s="42"/>
      <c r="H606" s="42"/>
      <c r="I606" s="42"/>
      <c r="J606" s="42"/>
      <c r="K606" s="42"/>
      <c r="L606" s="42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11"/>
      <c r="B607" s="11"/>
      <c r="C607" s="11"/>
      <c r="D607" s="11"/>
      <c r="E607" s="11"/>
      <c r="F607" s="11"/>
      <c r="G607" s="42"/>
      <c r="H607" s="42"/>
      <c r="I607" s="42"/>
      <c r="J607" s="42"/>
      <c r="K607" s="42"/>
      <c r="L607" s="42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11"/>
      <c r="B608" s="11"/>
      <c r="C608" s="11"/>
      <c r="D608" s="11"/>
      <c r="E608" s="11"/>
      <c r="F608" s="11"/>
      <c r="G608" s="42"/>
      <c r="H608" s="42"/>
      <c r="I608" s="42"/>
      <c r="J608" s="42"/>
      <c r="K608" s="42"/>
      <c r="L608" s="42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11"/>
      <c r="B609" s="11"/>
      <c r="C609" s="11"/>
      <c r="D609" s="11"/>
      <c r="E609" s="11"/>
      <c r="F609" s="11"/>
      <c r="G609" s="42"/>
      <c r="H609" s="42"/>
      <c r="I609" s="42"/>
      <c r="J609" s="42"/>
      <c r="K609" s="42"/>
      <c r="L609" s="42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11"/>
      <c r="B610" s="11"/>
      <c r="C610" s="11"/>
      <c r="D610" s="11"/>
      <c r="E610" s="11"/>
      <c r="F610" s="11"/>
      <c r="G610" s="42"/>
      <c r="H610" s="42"/>
      <c r="I610" s="42"/>
      <c r="J610" s="42"/>
      <c r="K610" s="42"/>
      <c r="L610" s="42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11"/>
      <c r="B611" s="11"/>
      <c r="C611" s="11"/>
      <c r="D611" s="11"/>
      <c r="E611" s="11"/>
      <c r="F611" s="11"/>
      <c r="G611" s="42"/>
      <c r="H611" s="42"/>
      <c r="I611" s="42"/>
      <c r="J611" s="42"/>
      <c r="K611" s="42"/>
      <c r="L611" s="42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11"/>
      <c r="B612" s="11"/>
      <c r="C612" s="11"/>
      <c r="D612" s="11"/>
      <c r="E612" s="11"/>
      <c r="F612" s="11"/>
      <c r="G612" s="42"/>
      <c r="H612" s="42"/>
      <c r="I612" s="42"/>
      <c r="J612" s="42"/>
      <c r="K612" s="42"/>
      <c r="L612" s="42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11"/>
      <c r="B613" s="11"/>
      <c r="C613" s="11"/>
      <c r="D613" s="11"/>
      <c r="E613" s="11"/>
      <c r="F613" s="11"/>
      <c r="G613" s="42"/>
      <c r="H613" s="42"/>
      <c r="I613" s="42"/>
      <c r="J613" s="42"/>
      <c r="K613" s="42"/>
      <c r="L613" s="42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11"/>
      <c r="B614" s="11"/>
      <c r="C614" s="11"/>
      <c r="D614" s="11"/>
      <c r="E614" s="11"/>
      <c r="F614" s="11"/>
      <c r="G614" s="42"/>
      <c r="H614" s="42"/>
      <c r="I614" s="42"/>
      <c r="J614" s="42"/>
      <c r="K614" s="42"/>
      <c r="L614" s="42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11"/>
      <c r="B615" s="11"/>
      <c r="C615" s="11"/>
      <c r="D615" s="11"/>
      <c r="E615" s="11"/>
      <c r="F615" s="11"/>
      <c r="G615" s="42"/>
      <c r="H615" s="42"/>
      <c r="I615" s="42"/>
      <c r="J615" s="42"/>
      <c r="K615" s="42"/>
      <c r="L615" s="42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11"/>
      <c r="B616" s="11"/>
      <c r="C616" s="11"/>
      <c r="D616" s="11"/>
      <c r="E616" s="11"/>
      <c r="F616" s="11"/>
      <c r="G616" s="42"/>
      <c r="H616" s="42"/>
      <c r="I616" s="42"/>
      <c r="J616" s="42"/>
      <c r="K616" s="42"/>
      <c r="L616" s="42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11"/>
      <c r="B617" s="11"/>
      <c r="C617" s="11"/>
      <c r="D617" s="11"/>
      <c r="E617" s="11"/>
      <c r="F617" s="11"/>
      <c r="G617" s="42"/>
      <c r="H617" s="42"/>
      <c r="I617" s="42"/>
      <c r="J617" s="42"/>
      <c r="K617" s="42"/>
      <c r="L617" s="42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11"/>
      <c r="B618" s="11"/>
      <c r="C618" s="11"/>
      <c r="D618" s="11"/>
      <c r="E618" s="11"/>
      <c r="F618" s="11"/>
      <c r="G618" s="42"/>
      <c r="H618" s="42"/>
      <c r="I618" s="42"/>
      <c r="J618" s="42"/>
      <c r="K618" s="42"/>
      <c r="L618" s="42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11"/>
      <c r="B619" s="11"/>
      <c r="C619" s="11"/>
      <c r="D619" s="11"/>
      <c r="E619" s="11"/>
      <c r="F619" s="11"/>
      <c r="G619" s="42"/>
      <c r="H619" s="42"/>
      <c r="I619" s="42"/>
      <c r="J619" s="42"/>
      <c r="K619" s="42"/>
      <c r="L619" s="42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11"/>
      <c r="B620" s="11"/>
      <c r="C620" s="11"/>
      <c r="D620" s="11"/>
      <c r="E620" s="11"/>
      <c r="F620" s="11"/>
      <c r="G620" s="42"/>
      <c r="H620" s="42"/>
      <c r="I620" s="42"/>
      <c r="J620" s="42"/>
      <c r="K620" s="42"/>
      <c r="L620" s="42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11"/>
      <c r="B621" s="11"/>
      <c r="C621" s="11"/>
      <c r="D621" s="11"/>
      <c r="E621" s="11"/>
      <c r="F621" s="11"/>
      <c r="G621" s="42"/>
      <c r="H621" s="42"/>
      <c r="I621" s="42"/>
      <c r="J621" s="42"/>
      <c r="K621" s="42"/>
      <c r="L621" s="42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11"/>
      <c r="B622" s="11"/>
      <c r="C622" s="11"/>
      <c r="D622" s="11"/>
      <c r="E622" s="11"/>
      <c r="F622" s="11"/>
      <c r="G622" s="42"/>
      <c r="H622" s="42"/>
      <c r="I622" s="42"/>
      <c r="J622" s="42"/>
      <c r="K622" s="42"/>
      <c r="L622" s="42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11"/>
      <c r="B623" s="11"/>
      <c r="C623" s="11"/>
      <c r="D623" s="11"/>
      <c r="E623" s="11"/>
      <c r="F623" s="11"/>
      <c r="G623" s="42"/>
      <c r="H623" s="42"/>
      <c r="I623" s="42"/>
      <c r="J623" s="42"/>
      <c r="K623" s="42"/>
      <c r="L623" s="42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11"/>
      <c r="B624" s="11"/>
      <c r="C624" s="11"/>
      <c r="D624" s="11"/>
      <c r="E624" s="11"/>
      <c r="F624" s="11"/>
      <c r="G624" s="42"/>
      <c r="H624" s="42"/>
      <c r="I624" s="42"/>
      <c r="J624" s="42"/>
      <c r="K624" s="42"/>
      <c r="L624" s="42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11"/>
      <c r="B625" s="11"/>
      <c r="C625" s="11"/>
      <c r="D625" s="11"/>
      <c r="E625" s="11"/>
      <c r="F625" s="11"/>
      <c r="G625" s="42"/>
      <c r="H625" s="42"/>
      <c r="I625" s="42"/>
      <c r="J625" s="42"/>
      <c r="K625" s="42"/>
      <c r="L625" s="42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11"/>
      <c r="B626" s="11"/>
      <c r="C626" s="11"/>
      <c r="D626" s="11"/>
      <c r="E626" s="11"/>
      <c r="F626" s="11"/>
      <c r="G626" s="42"/>
      <c r="H626" s="42"/>
      <c r="I626" s="42"/>
      <c r="J626" s="42"/>
      <c r="K626" s="42"/>
      <c r="L626" s="42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11"/>
      <c r="B627" s="11"/>
      <c r="C627" s="11"/>
      <c r="D627" s="11"/>
      <c r="E627" s="11"/>
      <c r="F627" s="11"/>
      <c r="G627" s="42"/>
      <c r="H627" s="42"/>
      <c r="I627" s="42"/>
      <c r="J627" s="42"/>
      <c r="K627" s="42"/>
      <c r="L627" s="42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11"/>
      <c r="B628" s="11"/>
      <c r="C628" s="11"/>
      <c r="D628" s="11"/>
      <c r="E628" s="11"/>
      <c r="F628" s="11"/>
      <c r="G628" s="42"/>
      <c r="H628" s="42"/>
      <c r="I628" s="42"/>
      <c r="J628" s="42"/>
      <c r="K628" s="42"/>
      <c r="L628" s="42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11"/>
      <c r="B629" s="11"/>
      <c r="C629" s="11"/>
      <c r="D629" s="11"/>
      <c r="E629" s="11"/>
      <c r="F629" s="11"/>
      <c r="G629" s="42"/>
      <c r="H629" s="42"/>
      <c r="I629" s="42"/>
      <c r="J629" s="42"/>
      <c r="K629" s="42"/>
      <c r="L629" s="42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11"/>
      <c r="B630" s="11"/>
      <c r="C630" s="11"/>
      <c r="D630" s="11"/>
      <c r="E630" s="11"/>
      <c r="F630" s="11"/>
      <c r="G630" s="42"/>
      <c r="H630" s="42"/>
      <c r="I630" s="42"/>
      <c r="J630" s="42"/>
      <c r="K630" s="42"/>
      <c r="L630" s="42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11"/>
      <c r="B631" s="11"/>
      <c r="C631" s="11"/>
      <c r="D631" s="11"/>
      <c r="E631" s="11"/>
      <c r="F631" s="11"/>
      <c r="G631" s="42"/>
      <c r="H631" s="42"/>
      <c r="I631" s="42"/>
      <c r="J631" s="42"/>
      <c r="K631" s="42"/>
      <c r="L631" s="42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11"/>
      <c r="B632" s="11"/>
      <c r="C632" s="11"/>
      <c r="D632" s="11"/>
      <c r="E632" s="11"/>
      <c r="F632" s="11"/>
      <c r="G632" s="42"/>
      <c r="H632" s="42"/>
      <c r="I632" s="42"/>
      <c r="J632" s="42"/>
      <c r="K632" s="42"/>
      <c r="L632" s="42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11"/>
      <c r="B633" s="11"/>
      <c r="C633" s="11"/>
      <c r="D633" s="11"/>
      <c r="E633" s="11"/>
      <c r="F633" s="11"/>
      <c r="G633" s="42"/>
      <c r="H633" s="42"/>
      <c r="I633" s="42"/>
      <c r="J633" s="42"/>
      <c r="K633" s="42"/>
      <c r="L633" s="42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11"/>
      <c r="B634" s="11"/>
      <c r="C634" s="11"/>
      <c r="D634" s="11"/>
      <c r="E634" s="11"/>
      <c r="F634" s="11"/>
      <c r="G634" s="42"/>
      <c r="H634" s="42"/>
      <c r="I634" s="42"/>
      <c r="J634" s="42"/>
      <c r="K634" s="42"/>
      <c r="L634" s="42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11"/>
      <c r="B635" s="11"/>
      <c r="C635" s="11"/>
      <c r="D635" s="11"/>
      <c r="E635" s="11"/>
      <c r="F635" s="11"/>
      <c r="G635" s="42"/>
      <c r="H635" s="42"/>
      <c r="I635" s="42"/>
      <c r="J635" s="42"/>
      <c r="K635" s="42"/>
      <c r="L635" s="42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11"/>
      <c r="B636" s="11"/>
      <c r="C636" s="11"/>
      <c r="D636" s="11"/>
      <c r="E636" s="11"/>
      <c r="F636" s="11"/>
      <c r="G636" s="42"/>
      <c r="H636" s="42"/>
      <c r="I636" s="42"/>
      <c r="J636" s="42"/>
      <c r="K636" s="42"/>
      <c r="L636" s="42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11"/>
      <c r="B637" s="11"/>
      <c r="C637" s="11"/>
      <c r="D637" s="11"/>
      <c r="E637" s="11"/>
      <c r="F637" s="11"/>
      <c r="G637" s="42"/>
      <c r="H637" s="42"/>
      <c r="I637" s="42"/>
      <c r="J637" s="42"/>
      <c r="K637" s="42"/>
      <c r="L637" s="42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11"/>
      <c r="B638" s="11"/>
      <c r="C638" s="11"/>
      <c r="D638" s="11"/>
      <c r="E638" s="11"/>
      <c r="F638" s="11"/>
      <c r="G638" s="42"/>
      <c r="H638" s="42"/>
      <c r="I638" s="42"/>
      <c r="J638" s="42"/>
      <c r="K638" s="42"/>
      <c r="L638" s="42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11"/>
      <c r="B639" s="11"/>
      <c r="C639" s="11"/>
      <c r="D639" s="11"/>
      <c r="E639" s="11"/>
      <c r="F639" s="11"/>
      <c r="G639" s="42"/>
      <c r="H639" s="42"/>
      <c r="I639" s="42"/>
      <c r="J639" s="42"/>
      <c r="K639" s="42"/>
      <c r="L639" s="42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11"/>
      <c r="B640" s="11"/>
      <c r="C640" s="11"/>
      <c r="D640" s="11"/>
      <c r="E640" s="11"/>
      <c r="F640" s="11"/>
      <c r="G640" s="42"/>
      <c r="H640" s="42"/>
      <c r="I640" s="42"/>
      <c r="J640" s="42"/>
      <c r="K640" s="42"/>
      <c r="L640" s="42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11"/>
      <c r="B641" s="11"/>
      <c r="C641" s="11"/>
      <c r="D641" s="11"/>
      <c r="E641" s="11"/>
      <c r="F641" s="11"/>
      <c r="G641" s="42"/>
      <c r="H641" s="42"/>
      <c r="I641" s="42"/>
      <c r="J641" s="42"/>
      <c r="K641" s="42"/>
      <c r="L641" s="42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11"/>
      <c r="B642" s="11"/>
      <c r="C642" s="11"/>
      <c r="D642" s="11"/>
      <c r="E642" s="11"/>
      <c r="F642" s="11"/>
      <c r="G642" s="42"/>
      <c r="H642" s="42"/>
      <c r="I642" s="42"/>
      <c r="J642" s="42"/>
      <c r="K642" s="42"/>
      <c r="L642" s="42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11"/>
      <c r="B643" s="11"/>
      <c r="C643" s="11"/>
      <c r="D643" s="11"/>
      <c r="E643" s="11"/>
      <c r="F643" s="11"/>
      <c r="G643" s="42"/>
      <c r="H643" s="42"/>
      <c r="I643" s="42"/>
      <c r="J643" s="42"/>
      <c r="K643" s="42"/>
      <c r="L643" s="42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11"/>
      <c r="B644" s="11"/>
      <c r="C644" s="11"/>
      <c r="D644" s="11"/>
      <c r="E644" s="11"/>
      <c r="F644" s="11"/>
      <c r="G644" s="42"/>
      <c r="H644" s="42"/>
      <c r="I644" s="42"/>
      <c r="J644" s="42"/>
      <c r="K644" s="42"/>
      <c r="L644" s="42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11"/>
      <c r="B645" s="11"/>
      <c r="C645" s="11"/>
      <c r="D645" s="11"/>
      <c r="E645" s="11"/>
      <c r="F645" s="11"/>
      <c r="G645" s="42"/>
      <c r="H645" s="42"/>
      <c r="I645" s="42"/>
      <c r="J645" s="42"/>
      <c r="K645" s="42"/>
      <c r="L645" s="42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11"/>
      <c r="B646" s="11"/>
      <c r="C646" s="11"/>
      <c r="D646" s="11"/>
      <c r="E646" s="11"/>
      <c r="F646" s="11"/>
      <c r="G646" s="42"/>
      <c r="H646" s="42"/>
      <c r="I646" s="42"/>
      <c r="J646" s="42"/>
      <c r="K646" s="42"/>
      <c r="L646" s="42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11"/>
      <c r="B647" s="11"/>
      <c r="C647" s="11"/>
      <c r="D647" s="11"/>
      <c r="E647" s="11"/>
      <c r="F647" s="11"/>
      <c r="G647" s="42"/>
      <c r="H647" s="42"/>
      <c r="I647" s="42"/>
      <c r="J647" s="42"/>
      <c r="K647" s="42"/>
      <c r="L647" s="42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11"/>
      <c r="B648" s="11"/>
      <c r="C648" s="11"/>
      <c r="D648" s="11"/>
      <c r="E648" s="11"/>
      <c r="F648" s="11"/>
      <c r="G648" s="42"/>
      <c r="H648" s="42"/>
      <c r="I648" s="42"/>
      <c r="J648" s="42"/>
      <c r="K648" s="42"/>
      <c r="L648" s="42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11"/>
      <c r="B649" s="11"/>
      <c r="C649" s="11"/>
      <c r="D649" s="11"/>
      <c r="E649" s="11"/>
      <c r="F649" s="11"/>
      <c r="G649" s="42"/>
      <c r="H649" s="42"/>
      <c r="I649" s="42"/>
      <c r="J649" s="42"/>
      <c r="K649" s="42"/>
      <c r="L649" s="42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11"/>
      <c r="B650" s="11"/>
      <c r="C650" s="11"/>
      <c r="D650" s="11"/>
      <c r="E650" s="11"/>
      <c r="F650" s="11"/>
      <c r="G650" s="42"/>
      <c r="H650" s="42"/>
      <c r="I650" s="42"/>
      <c r="J650" s="42"/>
      <c r="K650" s="42"/>
      <c r="L650" s="42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11"/>
      <c r="B651" s="11"/>
      <c r="C651" s="11"/>
      <c r="D651" s="11"/>
      <c r="E651" s="11"/>
      <c r="F651" s="11"/>
      <c r="G651" s="42"/>
      <c r="H651" s="42"/>
      <c r="I651" s="42"/>
      <c r="J651" s="42"/>
      <c r="K651" s="42"/>
      <c r="L651" s="42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11"/>
      <c r="B652" s="11"/>
      <c r="C652" s="11"/>
      <c r="D652" s="11"/>
      <c r="E652" s="11"/>
      <c r="F652" s="11"/>
      <c r="G652" s="42"/>
      <c r="H652" s="42"/>
      <c r="I652" s="42"/>
      <c r="J652" s="42"/>
      <c r="K652" s="42"/>
      <c r="L652" s="42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11"/>
      <c r="B653" s="11"/>
      <c r="C653" s="11"/>
      <c r="D653" s="11"/>
      <c r="E653" s="11"/>
      <c r="F653" s="11"/>
      <c r="G653" s="42"/>
      <c r="H653" s="42"/>
      <c r="I653" s="42"/>
      <c r="J653" s="42"/>
      <c r="K653" s="42"/>
      <c r="L653" s="42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11"/>
      <c r="B654" s="11"/>
      <c r="C654" s="11"/>
      <c r="D654" s="11"/>
      <c r="E654" s="11"/>
      <c r="F654" s="11"/>
      <c r="G654" s="42"/>
      <c r="H654" s="42"/>
      <c r="I654" s="42"/>
      <c r="J654" s="42"/>
      <c r="K654" s="42"/>
      <c r="L654" s="42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11"/>
      <c r="B655" s="11"/>
      <c r="C655" s="11"/>
      <c r="D655" s="11"/>
      <c r="E655" s="11"/>
      <c r="F655" s="11"/>
      <c r="G655" s="42"/>
      <c r="H655" s="42"/>
      <c r="I655" s="42"/>
      <c r="J655" s="42"/>
      <c r="K655" s="42"/>
      <c r="L655" s="42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11"/>
      <c r="B656" s="11"/>
      <c r="C656" s="11"/>
      <c r="D656" s="11"/>
      <c r="E656" s="11"/>
      <c r="F656" s="11"/>
      <c r="G656" s="42"/>
      <c r="H656" s="42"/>
      <c r="I656" s="42"/>
      <c r="J656" s="42"/>
      <c r="K656" s="42"/>
      <c r="L656" s="42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11"/>
      <c r="B657" s="11"/>
      <c r="C657" s="11"/>
      <c r="D657" s="11"/>
      <c r="E657" s="11"/>
      <c r="F657" s="11"/>
      <c r="G657" s="42"/>
      <c r="H657" s="42"/>
      <c r="I657" s="42"/>
      <c r="J657" s="42"/>
      <c r="K657" s="42"/>
      <c r="L657" s="42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11"/>
      <c r="B658" s="11"/>
      <c r="C658" s="11"/>
      <c r="D658" s="11"/>
      <c r="E658" s="11"/>
      <c r="F658" s="11"/>
      <c r="G658" s="42"/>
      <c r="H658" s="42"/>
      <c r="I658" s="42"/>
      <c r="J658" s="42"/>
      <c r="K658" s="42"/>
      <c r="L658" s="42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11"/>
      <c r="B659" s="11"/>
      <c r="C659" s="11"/>
      <c r="D659" s="11"/>
      <c r="E659" s="11"/>
      <c r="F659" s="11"/>
      <c r="G659" s="42"/>
      <c r="H659" s="42"/>
      <c r="I659" s="42"/>
      <c r="J659" s="42"/>
      <c r="K659" s="42"/>
      <c r="L659" s="42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11"/>
      <c r="B660" s="11"/>
      <c r="C660" s="11"/>
      <c r="D660" s="11"/>
      <c r="E660" s="11"/>
      <c r="F660" s="11"/>
      <c r="G660" s="42"/>
      <c r="H660" s="42"/>
      <c r="I660" s="42"/>
      <c r="J660" s="42"/>
      <c r="K660" s="42"/>
      <c r="L660" s="42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11"/>
      <c r="B661" s="11"/>
      <c r="C661" s="11"/>
      <c r="D661" s="11"/>
      <c r="E661" s="11"/>
      <c r="F661" s="11"/>
      <c r="G661" s="42"/>
      <c r="H661" s="42"/>
      <c r="I661" s="42"/>
      <c r="J661" s="42"/>
      <c r="K661" s="42"/>
      <c r="L661" s="42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11"/>
      <c r="B662" s="11"/>
      <c r="C662" s="11"/>
      <c r="D662" s="11"/>
      <c r="E662" s="11"/>
      <c r="F662" s="11"/>
      <c r="G662" s="42"/>
      <c r="H662" s="42"/>
      <c r="I662" s="42"/>
      <c r="J662" s="42"/>
      <c r="K662" s="42"/>
      <c r="L662" s="42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11"/>
      <c r="B663" s="11"/>
      <c r="C663" s="11"/>
      <c r="D663" s="11"/>
      <c r="E663" s="11"/>
      <c r="F663" s="11"/>
      <c r="G663" s="42"/>
      <c r="H663" s="42"/>
      <c r="I663" s="42"/>
      <c r="J663" s="42"/>
      <c r="K663" s="42"/>
      <c r="L663" s="42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11"/>
      <c r="B664" s="11"/>
      <c r="C664" s="11"/>
      <c r="D664" s="11"/>
      <c r="E664" s="11"/>
      <c r="F664" s="11"/>
      <c r="G664" s="42"/>
      <c r="H664" s="42"/>
      <c r="I664" s="42"/>
      <c r="J664" s="42"/>
      <c r="K664" s="42"/>
      <c r="L664" s="42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11"/>
      <c r="B665" s="11"/>
      <c r="C665" s="11"/>
      <c r="D665" s="11"/>
      <c r="E665" s="11"/>
      <c r="F665" s="11"/>
      <c r="G665" s="42"/>
      <c r="H665" s="42"/>
      <c r="I665" s="42"/>
      <c r="J665" s="42"/>
      <c r="K665" s="42"/>
      <c r="L665" s="42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11"/>
      <c r="B666" s="11"/>
      <c r="C666" s="11"/>
      <c r="D666" s="11"/>
      <c r="E666" s="11"/>
      <c r="F666" s="11"/>
      <c r="G666" s="42"/>
      <c r="H666" s="42"/>
      <c r="I666" s="42"/>
      <c r="J666" s="42"/>
      <c r="K666" s="42"/>
      <c r="L666" s="42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11"/>
      <c r="B667" s="11"/>
      <c r="C667" s="11"/>
      <c r="D667" s="11"/>
      <c r="E667" s="11"/>
      <c r="F667" s="11"/>
      <c r="G667" s="42"/>
      <c r="H667" s="42"/>
      <c r="I667" s="42"/>
      <c r="J667" s="42"/>
      <c r="K667" s="42"/>
      <c r="L667" s="42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11"/>
      <c r="B668" s="11"/>
      <c r="C668" s="11"/>
      <c r="D668" s="11"/>
      <c r="E668" s="11"/>
      <c r="F668" s="11"/>
      <c r="G668" s="42"/>
      <c r="H668" s="42"/>
      <c r="I668" s="42"/>
      <c r="J668" s="42"/>
      <c r="K668" s="42"/>
      <c r="L668" s="42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11"/>
      <c r="B669" s="11"/>
      <c r="C669" s="11"/>
      <c r="D669" s="11"/>
      <c r="E669" s="11"/>
      <c r="F669" s="11"/>
      <c r="G669" s="42"/>
      <c r="H669" s="42"/>
      <c r="I669" s="42"/>
      <c r="J669" s="42"/>
      <c r="K669" s="42"/>
      <c r="L669" s="42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11"/>
      <c r="B670" s="11"/>
      <c r="C670" s="11"/>
      <c r="D670" s="11"/>
      <c r="E670" s="11"/>
      <c r="F670" s="11"/>
      <c r="G670" s="42"/>
      <c r="H670" s="42"/>
      <c r="I670" s="42"/>
      <c r="J670" s="42"/>
      <c r="K670" s="42"/>
      <c r="L670" s="42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11"/>
      <c r="B671" s="11"/>
      <c r="C671" s="11"/>
      <c r="D671" s="11"/>
      <c r="E671" s="11"/>
      <c r="F671" s="11"/>
      <c r="G671" s="42"/>
      <c r="H671" s="42"/>
      <c r="I671" s="42"/>
      <c r="J671" s="42"/>
      <c r="K671" s="42"/>
      <c r="L671" s="42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11"/>
      <c r="B672" s="11"/>
      <c r="C672" s="11"/>
      <c r="D672" s="11"/>
      <c r="E672" s="11"/>
      <c r="F672" s="11"/>
      <c r="G672" s="42"/>
      <c r="H672" s="42"/>
      <c r="I672" s="42"/>
      <c r="J672" s="42"/>
      <c r="K672" s="42"/>
      <c r="L672" s="42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11"/>
      <c r="B673" s="11"/>
      <c r="C673" s="11"/>
      <c r="D673" s="11"/>
      <c r="E673" s="11"/>
      <c r="F673" s="11"/>
      <c r="G673" s="42"/>
      <c r="H673" s="42"/>
      <c r="I673" s="42"/>
      <c r="J673" s="42"/>
      <c r="K673" s="42"/>
      <c r="L673" s="42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11"/>
      <c r="B674" s="11"/>
      <c r="C674" s="11"/>
      <c r="D674" s="11"/>
      <c r="E674" s="11"/>
      <c r="F674" s="11"/>
      <c r="G674" s="42"/>
      <c r="H674" s="42"/>
      <c r="I674" s="42"/>
      <c r="J674" s="42"/>
      <c r="K674" s="42"/>
      <c r="L674" s="42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11"/>
      <c r="B675" s="11"/>
      <c r="C675" s="11"/>
      <c r="D675" s="11"/>
      <c r="E675" s="11"/>
      <c r="F675" s="11"/>
      <c r="G675" s="42"/>
      <c r="H675" s="42"/>
      <c r="I675" s="42"/>
      <c r="J675" s="42"/>
      <c r="K675" s="42"/>
      <c r="L675" s="42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11"/>
      <c r="B676" s="11"/>
      <c r="C676" s="11"/>
      <c r="D676" s="11"/>
      <c r="E676" s="11"/>
      <c r="F676" s="11"/>
      <c r="G676" s="42"/>
      <c r="H676" s="42"/>
      <c r="I676" s="42"/>
      <c r="J676" s="42"/>
      <c r="K676" s="42"/>
      <c r="L676" s="42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11"/>
      <c r="B677" s="11"/>
      <c r="C677" s="11"/>
      <c r="D677" s="11"/>
      <c r="E677" s="11"/>
      <c r="F677" s="11"/>
      <c r="G677" s="42"/>
      <c r="H677" s="42"/>
      <c r="I677" s="42"/>
      <c r="J677" s="42"/>
      <c r="K677" s="42"/>
      <c r="L677" s="42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11"/>
      <c r="B678" s="11"/>
      <c r="C678" s="11"/>
      <c r="D678" s="11"/>
      <c r="E678" s="11"/>
      <c r="F678" s="11"/>
      <c r="G678" s="42"/>
      <c r="H678" s="42"/>
      <c r="I678" s="42"/>
      <c r="J678" s="42"/>
      <c r="K678" s="42"/>
      <c r="L678" s="42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11"/>
      <c r="B679" s="11"/>
      <c r="C679" s="11"/>
      <c r="D679" s="11"/>
      <c r="E679" s="11"/>
      <c r="F679" s="11"/>
      <c r="G679" s="42"/>
      <c r="H679" s="42"/>
      <c r="I679" s="42"/>
      <c r="J679" s="42"/>
      <c r="K679" s="42"/>
      <c r="L679" s="42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11"/>
      <c r="B680" s="11"/>
      <c r="C680" s="11"/>
      <c r="D680" s="11"/>
      <c r="E680" s="11"/>
      <c r="F680" s="11"/>
      <c r="G680" s="42"/>
      <c r="H680" s="42"/>
      <c r="I680" s="42"/>
      <c r="J680" s="42"/>
      <c r="K680" s="42"/>
      <c r="L680" s="42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11"/>
      <c r="B681" s="11"/>
      <c r="C681" s="11"/>
      <c r="D681" s="11"/>
      <c r="E681" s="11"/>
      <c r="F681" s="11"/>
      <c r="G681" s="42"/>
      <c r="H681" s="42"/>
      <c r="I681" s="42"/>
      <c r="J681" s="42"/>
      <c r="K681" s="42"/>
      <c r="L681" s="42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11"/>
      <c r="B682" s="11"/>
      <c r="C682" s="11"/>
      <c r="D682" s="11"/>
      <c r="E682" s="11"/>
      <c r="F682" s="11"/>
      <c r="G682" s="42"/>
      <c r="H682" s="42"/>
      <c r="I682" s="42"/>
      <c r="J682" s="42"/>
      <c r="K682" s="42"/>
      <c r="L682" s="42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11"/>
      <c r="B683" s="11"/>
      <c r="C683" s="11"/>
      <c r="D683" s="11"/>
      <c r="E683" s="11"/>
      <c r="F683" s="11"/>
      <c r="G683" s="42"/>
      <c r="H683" s="42"/>
      <c r="I683" s="42"/>
      <c r="J683" s="42"/>
      <c r="K683" s="42"/>
      <c r="L683" s="42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11"/>
      <c r="B684" s="11"/>
      <c r="C684" s="11"/>
      <c r="D684" s="11"/>
      <c r="E684" s="11"/>
      <c r="F684" s="11"/>
      <c r="G684" s="42"/>
      <c r="H684" s="42"/>
      <c r="I684" s="42"/>
      <c r="J684" s="42"/>
      <c r="K684" s="42"/>
      <c r="L684" s="42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11"/>
      <c r="B685" s="11"/>
      <c r="C685" s="11"/>
      <c r="D685" s="11"/>
      <c r="E685" s="11"/>
      <c r="F685" s="11"/>
      <c r="G685" s="42"/>
      <c r="H685" s="42"/>
      <c r="I685" s="42"/>
      <c r="J685" s="42"/>
      <c r="K685" s="42"/>
      <c r="L685" s="42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11"/>
      <c r="B686" s="11"/>
      <c r="C686" s="11"/>
      <c r="D686" s="11"/>
      <c r="E686" s="11"/>
      <c r="F686" s="11"/>
      <c r="G686" s="42"/>
      <c r="H686" s="42"/>
      <c r="I686" s="42"/>
      <c r="J686" s="42"/>
      <c r="K686" s="42"/>
      <c r="L686" s="42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11"/>
      <c r="B687" s="11"/>
      <c r="C687" s="11"/>
      <c r="D687" s="11"/>
      <c r="E687" s="11"/>
      <c r="F687" s="11"/>
      <c r="G687" s="42"/>
      <c r="H687" s="42"/>
      <c r="I687" s="42"/>
      <c r="J687" s="42"/>
      <c r="K687" s="42"/>
      <c r="L687" s="42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11"/>
      <c r="B688" s="11"/>
      <c r="C688" s="11"/>
      <c r="D688" s="11"/>
      <c r="E688" s="11"/>
      <c r="F688" s="11"/>
      <c r="G688" s="42"/>
      <c r="H688" s="42"/>
      <c r="I688" s="42"/>
      <c r="J688" s="42"/>
      <c r="K688" s="42"/>
      <c r="L688" s="42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11"/>
      <c r="B689" s="11"/>
      <c r="C689" s="11"/>
      <c r="D689" s="11"/>
      <c r="E689" s="11"/>
      <c r="F689" s="11"/>
      <c r="G689" s="42"/>
      <c r="H689" s="42"/>
      <c r="I689" s="42"/>
      <c r="J689" s="42"/>
      <c r="K689" s="42"/>
      <c r="L689" s="42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11"/>
      <c r="B690" s="11"/>
      <c r="C690" s="11"/>
      <c r="D690" s="11"/>
      <c r="E690" s="11"/>
      <c r="F690" s="11"/>
      <c r="G690" s="42"/>
      <c r="H690" s="42"/>
      <c r="I690" s="42"/>
      <c r="J690" s="42"/>
      <c r="K690" s="42"/>
      <c r="L690" s="42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11"/>
      <c r="B691" s="11"/>
      <c r="C691" s="11"/>
      <c r="D691" s="11"/>
      <c r="E691" s="11"/>
      <c r="F691" s="11"/>
      <c r="G691" s="42"/>
      <c r="H691" s="42"/>
      <c r="I691" s="42"/>
      <c r="J691" s="42"/>
      <c r="K691" s="42"/>
      <c r="L691" s="42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11"/>
      <c r="B692" s="11"/>
      <c r="C692" s="11"/>
      <c r="D692" s="11"/>
      <c r="E692" s="11"/>
      <c r="F692" s="11"/>
      <c r="G692" s="42"/>
      <c r="H692" s="42"/>
      <c r="I692" s="42"/>
      <c r="J692" s="42"/>
      <c r="K692" s="42"/>
      <c r="L692" s="42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11"/>
      <c r="B693" s="11"/>
      <c r="C693" s="11"/>
      <c r="D693" s="11"/>
      <c r="E693" s="11"/>
      <c r="F693" s="11"/>
      <c r="G693" s="42"/>
      <c r="H693" s="42"/>
      <c r="I693" s="42"/>
      <c r="J693" s="42"/>
      <c r="K693" s="42"/>
      <c r="L693" s="42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11"/>
      <c r="B694" s="11"/>
      <c r="C694" s="11"/>
      <c r="D694" s="11"/>
      <c r="E694" s="11"/>
      <c r="F694" s="11"/>
      <c r="G694" s="42"/>
      <c r="H694" s="42"/>
      <c r="I694" s="42"/>
      <c r="J694" s="42"/>
      <c r="K694" s="42"/>
      <c r="L694" s="42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11"/>
      <c r="B695" s="11"/>
      <c r="C695" s="11"/>
      <c r="D695" s="11"/>
      <c r="E695" s="11"/>
      <c r="F695" s="11"/>
      <c r="G695" s="42"/>
      <c r="H695" s="42"/>
      <c r="I695" s="42"/>
      <c r="J695" s="42"/>
      <c r="K695" s="42"/>
      <c r="L695" s="42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11"/>
      <c r="B696" s="11"/>
      <c r="C696" s="11"/>
      <c r="D696" s="11"/>
      <c r="E696" s="11"/>
      <c r="F696" s="11"/>
      <c r="G696" s="42"/>
      <c r="H696" s="42"/>
      <c r="I696" s="42"/>
      <c r="J696" s="42"/>
      <c r="K696" s="42"/>
      <c r="L696" s="42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11"/>
      <c r="B697" s="11"/>
      <c r="C697" s="11"/>
      <c r="D697" s="11"/>
      <c r="E697" s="11"/>
      <c r="F697" s="11"/>
      <c r="G697" s="42"/>
      <c r="H697" s="42"/>
      <c r="I697" s="42"/>
      <c r="J697" s="42"/>
      <c r="K697" s="42"/>
      <c r="L697" s="42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11"/>
      <c r="B698" s="11"/>
      <c r="C698" s="11"/>
      <c r="D698" s="11"/>
      <c r="E698" s="11"/>
      <c r="F698" s="11"/>
      <c r="G698" s="42"/>
      <c r="H698" s="42"/>
      <c r="I698" s="42"/>
      <c r="J698" s="42"/>
      <c r="K698" s="42"/>
      <c r="L698" s="42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11"/>
      <c r="B699" s="11"/>
      <c r="C699" s="11"/>
      <c r="D699" s="11"/>
      <c r="E699" s="11"/>
      <c r="F699" s="11"/>
      <c r="G699" s="42"/>
      <c r="H699" s="42"/>
      <c r="I699" s="42"/>
      <c r="J699" s="42"/>
      <c r="K699" s="42"/>
      <c r="L699" s="42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11"/>
      <c r="B700" s="11"/>
      <c r="C700" s="11"/>
      <c r="D700" s="11"/>
      <c r="E700" s="11"/>
      <c r="F700" s="11"/>
      <c r="G700" s="42"/>
      <c r="H700" s="42"/>
      <c r="I700" s="42"/>
      <c r="J700" s="42"/>
      <c r="K700" s="42"/>
      <c r="L700" s="42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11"/>
      <c r="B701" s="11"/>
      <c r="C701" s="11"/>
      <c r="D701" s="11"/>
      <c r="E701" s="11"/>
      <c r="F701" s="11"/>
      <c r="G701" s="42"/>
      <c r="H701" s="42"/>
      <c r="I701" s="42"/>
      <c r="J701" s="42"/>
      <c r="K701" s="42"/>
      <c r="L701" s="42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11"/>
      <c r="B702" s="11"/>
      <c r="C702" s="11"/>
      <c r="D702" s="11"/>
      <c r="E702" s="11"/>
      <c r="F702" s="11"/>
      <c r="G702" s="42"/>
      <c r="H702" s="42"/>
      <c r="I702" s="42"/>
      <c r="J702" s="42"/>
      <c r="K702" s="42"/>
      <c r="L702" s="42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11"/>
      <c r="B703" s="11"/>
      <c r="C703" s="11"/>
      <c r="D703" s="11"/>
      <c r="E703" s="11"/>
      <c r="F703" s="11"/>
      <c r="G703" s="42"/>
      <c r="H703" s="42"/>
      <c r="I703" s="42"/>
      <c r="J703" s="42"/>
      <c r="K703" s="42"/>
      <c r="L703" s="42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11"/>
      <c r="B704" s="11"/>
      <c r="C704" s="11"/>
      <c r="D704" s="11"/>
      <c r="E704" s="11"/>
      <c r="F704" s="11"/>
      <c r="G704" s="42"/>
      <c r="H704" s="42"/>
      <c r="I704" s="42"/>
      <c r="J704" s="42"/>
      <c r="K704" s="42"/>
      <c r="L704" s="42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11"/>
      <c r="B705" s="11"/>
      <c r="C705" s="11"/>
      <c r="D705" s="11"/>
      <c r="E705" s="11"/>
      <c r="F705" s="11"/>
      <c r="G705" s="42"/>
      <c r="H705" s="42"/>
      <c r="I705" s="42"/>
      <c r="J705" s="42"/>
      <c r="K705" s="42"/>
      <c r="L705" s="42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11"/>
      <c r="B706" s="11"/>
      <c r="C706" s="11"/>
      <c r="D706" s="11"/>
      <c r="E706" s="11"/>
      <c r="F706" s="11"/>
      <c r="G706" s="42"/>
      <c r="H706" s="42"/>
      <c r="I706" s="42"/>
      <c r="J706" s="42"/>
      <c r="K706" s="42"/>
      <c r="L706" s="42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11"/>
      <c r="B707" s="11"/>
      <c r="C707" s="11"/>
      <c r="D707" s="11"/>
      <c r="E707" s="11"/>
      <c r="F707" s="11"/>
      <c r="G707" s="42"/>
      <c r="H707" s="42"/>
      <c r="I707" s="42"/>
      <c r="J707" s="42"/>
      <c r="K707" s="42"/>
      <c r="L707" s="42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11"/>
      <c r="B708" s="11"/>
      <c r="C708" s="11"/>
      <c r="D708" s="11"/>
      <c r="E708" s="11"/>
      <c r="F708" s="11"/>
      <c r="G708" s="42"/>
      <c r="H708" s="42"/>
      <c r="I708" s="42"/>
      <c r="J708" s="42"/>
      <c r="K708" s="42"/>
      <c r="L708" s="42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11"/>
      <c r="B709" s="11"/>
      <c r="C709" s="11"/>
      <c r="D709" s="11"/>
      <c r="E709" s="11"/>
      <c r="F709" s="11"/>
      <c r="G709" s="42"/>
      <c r="H709" s="42"/>
      <c r="I709" s="42"/>
      <c r="J709" s="42"/>
      <c r="K709" s="42"/>
      <c r="L709" s="42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11"/>
      <c r="B710" s="11"/>
      <c r="C710" s="11"/>
      <c r="D710" s="11"/>
      <c r="E710" s="11"/>
      <c r="F710" s="11"/>
      <c r="G710" s="42"/>
      <c r="H710" s="42"/>
      <c r="I710" s="42"/>
      <c r="J710" s="42"/>
      <c r="K710" s="42"/>
      <c r="L710" s="42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11"/>
      <c r="B711" s="11"/>
      <c r="C711" s="11"/>
      <c r="D711" s="11"/>
      <c r="E711" s="11"/>
      <c r="F711" s="11"/>
      <c r="G711" s="42"/>
      <c r="H711" s="42"/>
      <c r="I711" s="42"/>
      <c r="J711" s="42"/>
      <c r="K711" s="42"/>
      <c r="L711" s="42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11"/>
      <c r="B712" s="11"/>
      <c r="C712" s="11"/>
      <c r="D712" s="11"/>
      <c r="E712" s="11"/>
      <c r="F712" s="11"/>
      <c r="G712" s="42"/>
      <c r="H712" s="42"/>
      <c r="I712" s="42"/>
      <c r="J712" s="42"/>
      <c r="K712" s="42"/>
      <c r="L712" s="42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11"/>
      <c r="B713" s="11"/>
      <c r="C713" s="11"/>
      <c r="D713" s="11"/>
      <c r="E713" s="11"/>
      <c r="F713" s="11"/>
      <c r="G713" s="42"/>
      <c r="H713" s="42"/>
      <c r="I713" s="42"/>
      <c r="J713" s="42"/>
      <c r="K713" s="42"/>
      <c r="L713" s="42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11"/>
      <c r="B714" s="11"/>
      <c r="C714" s="11"/>
      <c r="D714" s="11"/>
      <c r="E714" s="11"/>
      <c r="F714" s="11"/>
      <c r="G714" s="42"/>
      <c r="H714" s="42"/>
      <c r="I714" s="42"/>
      <c r="J714" s="42"/>
      <c r="K714" s="42"/>
      <c r="L714" s="42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11"/>
      <c r="B715" s="11"/>
      <c r="C715" s="11"/>
      <c r="D715" s="11"/>
      <c r="E715" s="11"/>
      <c r="F715" s="11"/>
      <c r="G715" s="42"/>
      <c r="H715" s="42"/>
      <c r="I715" s="42"/>
      <c r="J715" s="42"/>
      <c r="K715" s="42"/>
      <c r="L715" s="42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11"/>
      <c r="B716" s="11"/>
      <c r="C716" s="11"/>
      <c r="D716" s="11"/>
      <c r="E716" s="11"/>
      <c r="F716" s="11"/>
      <c r="G716" s="42"/>
      <c r="H716" s="42"/>
      <c r="I716" s="42"/>
      <c r="J716" s="42"/>
      <c r="K716" s="42"/>
      <c r="L716" s="42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11"/>
      <c r="B717" s="11"/>
      <c r="C717" s="11"/>
      <c r="D717" s="11"/>
      <c r="E717" s="11"/>
      <c r="F717" s="11"/>
      <c r="G717" s="42"/>
      <c r="H717" s="42"/>
      <c r="I717" s="42"/>
      <c r="J717" s="42"/>
      <c r="K717" s="42"/>
      <c r="L717" s="42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11"/>
      <c r="B718" s="11"/>
      <c r="C718" s="11"/>
      <c r="D718" s="11"/>
      <c r="E718" s="11"/>
      <c r="F718" s="11"/>
      <c r="G718" s="42"/>
      <c r="H718" s="42"/>
      <c r="I718" s="42"/>
      <c r="J718" s="42"/>
      <c r="K718" s="42"/>
      <c r="L718" s="42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11"/>
      <c r="B719" s="11"/>
      <c r="C719" s="11"/>
      <c r="D719" s="11"/>
      <c r="E719" s="11"/>
      <c r="F719" s="11"/>
      <c r="G719" s="42"/>
      <c r="H719" s="42"/>
      <c r="I719" s="42"/>
      <c r="J719" s="42"/>
      <c r="K719" s="42"/>
      <c r="L719" s="42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11"/>
      <c r="B720" s="11"/>
      <c r="C720" s="11"/>
      <c r="D720" s="11"/>
      <c r="E720" s="11"/>
      <c r="F720" s="11"/>
      <c r="G720" s="42"/>
      <c r="H720" s="42"/>
      <c r="I720" s="42"/>
      <c r="J720" s="42"/>
      <c r="K720" s="42"/>
      <c r="L720" s="42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11"/>
      <c r="B721" s="11"/>
      <c r="C721" s="11"/>
      <c r="D721" s="11"/>
      <c r="E721" s="11"/>
      <c r="F721" s="11"/>
      <c r="G721" s="42"/>
      <c r="H721" s="42"/>
      <c r="I721" s="42"/>
      <c r="J721" s="42"/>
      <c r="K721" s="42"/>
      <c r="L721" s="42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11"/>
      <c r="B722" s="11"/>
      <c r="C722" s="11"/>
      <c r="D722" s="11"/>
      <c r="E722" s="11"/>
      <c r="F722" s="11"/>
      <c r="G722" s="42"/>
      <c r="H722" s="42"/>
      <c r="I722" s="42"/>
      <c r="J722" s="42"/>
      <c r="K722" s="42"/>
      <c r="L722" s="42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11"/>
      <c r="B723" s="11"/>
      <c r="C723" s="11"/>
      <c r="D723" s="11"/>
      <c r="E723" s="11"/>
      <c r="F723" s="11"/>
      <c r="G723" s="42"/>
      <c r="H723" s="42"/>
      <c r="I723" s="42"/>
      <c r="J723" s="42"/>
      <c r="K723" s="42"/>
      <c r="L723" s="42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11"/>
      <c r="B724" s="11"/>
      <c r="C724" s="11"/>
      <c r="D724" s="11"/>
      <c r="E724" s="11"/>
      <c r="F724" s="11"/>
      <c r="G724" s="42"/>
      <c r="H724" s="42"/>
      <c r="I724" s="42"/>
      <c r="J724" s="42"/>
      <c r="K724" s="42"/>
      <c r="L724" s="42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11"/>
      <c r="B725" s="11"/>
      <c r="C725" s="11"/>
      <c r="D725" s="11"/>
      <c r="E725" s="11"/>
      <c r="F725" s="11"/>
      <c r="G725" s="42"/>
      <c r="H725" s="42"/>
      <c r="I725" s="42"/>
      <c r="J725" s="42"/>
      <c r="K725" s="42"/>
      <c r="L725" s="42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11"/>
      <c r="B726" s="11"/>
      <c r="C726" s="11"/>
      <c r="D726" s="11"/>
      <c r="E726" s="11"/>
      <c r="F726" s="11"/>
      <c r="G726" s="42"/>
      <c r="H726" s="42"/>
      <c r="I726" s="42"/>
      <c r="J726" s="42"/>
      <c r="K726" s="42"/>
      <c r="L726" s="42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11"/>
      <c r="B727" s="11"/>
      <c r="C727" s="11"/>
      <c r="D727" s="11"/>
      <c r="E727" s="11"/>
      <c r="F727" s="11"/>
      <c r="G727" s="42"/>
      <c r="H727" s="42"/>
      <c r="I727" s="42"/>
      <c r="J727" s="42"/>
      <c r="K727" s="42"/>
      <c r="L727" s="42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11"/>
      <c r="B728" s="11"/>
      <c r="C728" s="11"/>
      <c r="D728" s="11"/>
      <c r="E728" s="11"/>
      <c r="F728" s="11"/>
      <c r="G728" s="42"/>
      <c r="H728" s="42"/>
      <c r="I728" s="42"/>
      <c r="J728" s="42"/>
      <c r="K728" s="42"/>
      <c r="L728" s="42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11"/>
      <c r="B729" s="11"/>
      <c r="C729" s="11"/>
      <c r="D729" s="11"/>
      <c r="E729" s="11"/>
      <c r="F729" s="11"/>
      <c r="G729" s="42"/>
      <c r="H729" s="42"/>
      <c r="I729" s="42"/>
      <c r="J729" s="42"/>
      <c r="K729" s="42"/>
      <c r="L729" s="42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11"/>
      <c r="B730" s="11"/>
      <c r="C730" s="11"/>
      <c r="D730" s="11"/>
      <c r="E730" s="11"/>
      <c r="F730" s="11"/>
      <c r="G730" s="42"/>
      <c r="H730" s="42"/>
      <c r="I730" s="42"/>
      <c r="J730" s="42"/>
      <c r="K730" s="42"/>
      <c r="L730" s="42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11"/>
      <c r="B731" s="11"/>
      <c r="C731" s="11"/>
      <c r="D731" s="11"/>
      <c r="E731" s="11"/>
      <c r="F731" s="11"/>
      <c r="G731" s="42"/>
      <c r="H731" s="42"/>
      <c r="I731" s="42"/>
      <c r="J731" s="42"/>
      <c r="K731" s="42"/>
      <c r="L731" s="42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11"/>
      <c r="B732" s="11"/>
      <c r="C732" s="11"/>
      <c r="D732" s="11"/>
      <c r="E732" s="11"/>
      <c r="F732" s="11"/>
      <c r="G732" s="42"/>
      <c r="H732" s="42"/>
      <c r="I732" s="42"/>
      <c r="J732" s="42"/>
      <c r="K732" s="42"/>
      <c r="L732" s="42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11"/>
      <c r="B733" s="11"/>
      <c r="C733" s="11"/>
      <c r="D733" s="11"/>
      <c r="E733" s="11"/>
      <c r="F733" s="11"/>
      <c r="G733" s="42"/>
      <c r="H733" s="42"/>
      <c r="I733" s="42"/>
      <c r="J733" s="42"/>
      <c r="K733" s="42"/>
      <c r="L733" s="42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11"/>
      <c r="B734" s="11"/>
      <c r="C734" s="11"/>
      <c r="D734" s="11"/>
      <c r="E734" s="11"/>
      <c r="F734" s="11"/>
      <c r="G734" s="42"/>
      <c r="H734" s="42"/>
      <c r="I734" s="42"/>
      <c r="J734" s="42"/>
      <c r="K734" s="42"/>
      <c r="L734" s="42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11"/>
      <c r="B735" s="11"/>
      <c r="C735" s="11"/>
      <c r="D735" s="11"/>
      <c r="E735" s="11"/>
      <c r="F735" s="11"/>
      <c r="G735" s="42"/>
      <c r="H735" s="42"/>
      <c r="I735" s="42"/>
      <c r="J735" s="42"/>
      <c r="K735" s="42"/>
      <c r="L735" s="42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11"/>
      <c r="B736" s="11"/>
      <c r="C736" s="11"/>
      <c r="D736" s="11"/>
      <c r="E736" s="11"/>
      <c r="F736" s="11"/>
      <c r="G736" s="42"/>
      <c r="H736" s="42"/>
      <c r="I736" s="42"/>
      <c r="J736" s="42"/>
      <c r="K736" s="42"/>
      <c r="L736" s="42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11"/>
      <c r="B737" s="11"/>
      <c r="C737" s="11"/>
      <c r="D737" s="11"/>
      <c r="E737" s="11"/>
      <c r="F737" s="11"/>
      <c r="G737" s="42"/>
      <c r="H737" s="42"/>
      <c r="I737" s="42"/>
      <c r="J737" s="42"/>
      <c r="K737" s="42"/>
      <c r="L737" s="42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11"/>
      <c r="B738" s="11"/>
      <c r="C738" s="11"/>
      <c r="D738" s="11"/>
      <c r="E738" s="11"/>
      <c r="F738" s="11"/>
      <c r="G738" s="42"/>
      <c r="H738" s="42"/>
      <c r="I738" s="42"/>
      <c r="J738" s="42"/>
      <c r="K738" s="42"/>
      <c r="L738" s="42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11"/>
      <c r="B739" s="11"/>
      <c r="C739" s="11"/>
      <c r="D739" s="11"/>
      <c r="E739" s="11"/>
      <c r="F739" s="11"/>
      <c r="G739" s="42"/>
      <c r="H739" s="42"/>
      <c r="I739" s="42"/>
      <c r="J739" s="42"/>
      <c r="K739" s="42"/>
      <c r="L739" s="42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11"/>
      <c r="B740" s="11"/>
      <c r="C740" s="11"/>
      <c r="D740" s="11"/>
      <c r="E740" s="11"/>
      <c r="F740" s="11"/>
      <c r="G740" s="42"/>
      <c r="H740" s="42"/>
      <c r="I740" s="42"/>
      <c r="J740" s="42"/>
      <c r="K740" s="42"/>
      <c r="L740" s="42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11"/>
      <c r="B741" s="11"/>
      <c r="C741" s="11"/>
      <c r="D741" s="11"/>
      <c r="E741" s="11"/>
      <c r="F741" s="11"/>
      <c r="G741" s="42"/>
      <c r="H741" s="42"/>
      <c r="I741" s="42"/>
      <c r="J741" s="42"/>
      <c r="K741" s="42"/>
      <c r="L741" s="42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11"/>
      <c r="B742" s="11"/>
      <c r="C742" s="11"/>
      <c r="D742" s="11"/>
      <c r="E742" s="11"/>
      <c r="F742" s="11"/>
      <c r="G742" s="42"/>
      <c r="H742" s="42"/>
      <c r="I742" s="42"/>
      <c r="J742" s="42"/>
      <c r="K742" s="42"/>
      <c r="L742" s="42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11"/>
      <c r="B743" s="11"/>
      <c r="C743" s="11"/>
      <c r="D743" s="11"/>
      <c r="E743" s="11"/>
      <c r="F743" s="11"/>
      <c r="G743" s="42"/>
      <c r="H743" s="42"/>
      <c r="I743" s="42"/>
      <c r="J743" s="42"/>
      <c r="K743" s="42"/>
      <c r="L743" s="42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11"/>
      <c r="B744" s="11"/>
      <c r="C744" s="11"/>
      <c r="D744" s="11"/>
      <c r="E744" s="11"/>
      <c r="F744" s="11"/>
      <c r="G744" s="42"/>
      <c r="H744" s="42"/>
      <c r="I744" s="42"/>
      <c r="J744" s="42"/>
      <c r="K744" s="42"/>
      <c r="L744" s="42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11"/>
      <c r="B745" s="11"/>
      <c r="C745" s="11"/>
      <c r="D745" s="11"/>
      <c r="E745" s="11"/>
      <c r="F745" s="11"/>
      <c r="G745" s="42"/>
      <c r="H745" s="42"/>
      <c r="I745" s="42"/>
      <c r="J745" s="42"/>
      <c r="K745" s="42"/>
      <c r="L745" s="42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11"/>
      <c r="B746" s="11"/>
      <c r="C746" s="11"/>
      <c r="D746" s="11"/>
      <c r="E746" s="11"/>
      <c r="F746" s="11"/>
      <c r="G746" s="42"/>
      <c r="H746" s="42"/>
      <c r="I746" s="42"/>
      <c r="J746" s="42"/>
      <c r="K746" s="42"/>
      <c r="L746" s="42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11"/>
      <c r="B747" s="11"/>
      <c r="C747" s="11"/>
      <c r="D747" s="11"/>
      <c r="E747" s="11"/>
      <c r="F747" s="11"/>
      <c r="G747" s="42"/>
      <c r="H747" s="42"/>
      <c r="I747" s="42"/>
      <c r="J747" s="42"/>
      <c r="K747" s="42"/>
      <c r="L747" s="42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11"/>
      <c r="B748" s="11"/>
      <c r="C748" s="11"/>
      <c r="D748" s="11"/>
      <c r="E748" s="11"/>
      <c r="F748" s="11"/>
      <c r="G748" s="42"/>
      <c r="H748" s="42"/>
      <c r="I748" s="42"/>
      <c r="J748" s="42"/>
      <c r="K748" s="42"/>
      <c r="L748" s="42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11"/>
      <c r="B749" s="11"/>
      <c r="C749" s="11"/>
      <c r="D749" s="11"/>
      <c r="E749" s="11"/>
      <c r="F749" s="11"/>
      <c r="G749" s="42"/>
      <c r="H749" s="42"/>
      <c r="I749" s="42"/>
      <c r="J749" s="42"/>
      <c r="K749" s="42"/>
      <c r="L749" s="42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11"/>
      <c r="B750" s="11"/>
      <c r="C750" s="11"/>
      <c r="D750" s="11"/>
      <c r="E750" s="11"/>
      <c r="F750" s="11"/>
      <c r="G750" s="42"/>
      <c r="H750" s="42"/>
      <c r="I750" s="42"/>
      <c r="J750" s="42"/>
      <c r="K750" s="42"/>
      <c r="L750" s="42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11"/>
      <c r="B751" s="11"/>
      <c r="C751" s="11"/>
      <c r="D751" s="11"/>
      <c r="E751" s="11"/>
      <c r="F751" s="11"/>
      <c r="G751" s="42"/>
      <c r="H751" s="42"/>
      <c r="I751" s="42"/>
      <c r="J751" s="42"/>
      <c r="K751" s="42"/>
      <c r="L751" s="42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11"/>
      <c r="B752" s="11"/>
      <c r="C752" s="11"/>
      <c r="D752" s="11"/>
      <c r="E752" s="11"/>
      <c r="F752" s="11"/>
      <c r="G752" s="42"/>
      <c r="H752" s="42"/>
      <c r="I752" s="42"/>
      <c r="J752" s="42"/>
      <c r="K752" s="42"/>
      <c r="L752" s="42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11"/>
      <c r="B753" s="11"/>
      <c r="C753" s="11"/>
      <c r="D753" s="11"/>
      <c r="E753" s="11"/>
      <c r="F753" s="11"/>
      <c r="G753" s="42"/>
      <c r="H753" s="42"/>
      <c r="I753" s="42"/>
      <c r="J753" s="42"/>
      <c r="K753" s="42"/>
      <c r="L753" s="42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11"/>
      <c r="B754" s="11"/>
      <c r="C754" s="11"/>
      <c r="D754" s="11"/>
      <c r="E754" s="11"/>
      <c r="F754" s="11"/>
      <c r="G754" s="42"/>
      <c r="H754" s="42"/>
      <c r="I754" s="42"/>
      <c r="J754" s="42"/>
      <c r="K754" s="42"/>
      <c r="L754" s="42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11"/>
      <c r="B755" s="11"/>
      <c r="C755" s="11"/>
      <c r="D755" s="11"/>
      <c r="E755" s="11"/>
      <c r="F755" s="11"/>
      <c r="G755" s="42"/>
      <c r="H755" s="42"/>
      <c r="I755" s="42"/>
      <c r="J755" s="42"/>
      <c r="K755" s="42"/>
      <c r="L755" s="42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11"/>
      <c r="B756" s="11"/>
      <c r="C756" s="11"/>
      <c r="D756" s="11"/>
      <c r="E756" s="11"/>
      <c r="F756" s="11"/>
      <c r="G756" s="42"/>
      <c r="H756" s="42"/>
      <c r="I756" s="42"/>
      <c r="J756" s="42"/>
      <c r="K756" s="42"/>
      <c r="L756" s="42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11"/>
      <c r="B757" s="11"/>
      <c r="C757" s="11"/>
      <c r="D757" s="11"/>
      <c r="E757" s="11"/>
      <c r="F757" s="11"/>
      <c r="G757" s="42"/>
      <c r="H757" s="42"/>
      <c r="I757" s="42"/>
      <c r="J757" s="42"/>
      <c r="K757" s="42"/>
      <c r="L757" s="42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11"/>
      <c r="B758" s="11"/>
      <c r="C758" s="11"/>
      <c r="D758" s="11"/>
      <c r="E758" s="11"/>
      <c r="F758" s="11"/>
      <c r="G758" s="42"/>
      <c r="H758" s="42"/>
      <c r="I758" s="42"/>
      <c r="J758" s="42"/>
      <c r="K758" s="42"/>
      <c r="L758" s="42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11"/>
      <c r="B759" s="11"/>
      <c r="C759" s="11"/>
      <c r="D759" s="11"/>
      <c r="E759" s="11"/>
      <c r="F759" s="11"/>
      <c r="G759" s="42"/>
      <c r="H759" s="42"/>
      <c r="I759" s="42"/>
      <c r="J759" s="42"/>
      <c r="K759" s="42"/>
      <c r="L759" s="42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11"/>
      <c r="B760" s="11"/>
      <c r="C760" s="11"/>
      <c r="D760" s="11"/>
      <c r="E760" s="11"/>
      <c r="F760" s="11"/>
      <c r="G760" s="42"/>
      <c r="H760" s="42"/>
      <c r="I760" s="42"/>
      <c r="J760" s="42"/>
      <c r="K760" s="42"/>
      <c r="L760" s="42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11"/>
      <c r="B761" s="11"/>
      <c r="C761" s="11"/>
      <c r="D761" s="11"/>
      <c r="E761" s="11"/>
      <c r="F761" s="11"/>
      <c r="G761" s="42"/>
      <c r="H761" s="42"/>
      <c r="I761" s="42"/>
      <c r="J761" s="42"/>
      <c r="K761" s="42"/>
      <c r="L761" s="42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11"/>
      <c r="B762" s="11"/>
      <c r="C762" s="11"/>
      <c r="D762" s="11"/>
      <c r="E762" s="11"/>
      <c r="F762" s="11"/>
      <c r="G762" s="42"/>
      <c r="H762" s="42"/>
      <c r="I762" s="42"/>
      <c r="J762" s="42"/>
      <c r="K762" s="42"/>
      <c r="L762" s="42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11"/>
      <c r="B763" s="11"/>
      <c r="C763" s="11"/>
      <c r="D763" s="11"/>
      <c r="E763" s="11"/>
      <c r="F763" s="11"/>
      <c r="G763" s="42"/>
      <c r="H763" s="42"/>
      <c r="I763" s="42"/>
      <c r="J763" s="42"/>
      <c r="K763" s="42"/>
      <c r="L763" s="42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11"/>
      <c r="B764" s="11"/>
      <c r="C764" s="11"/>
      <c r="D764" s="11"/>
      <c r="E764" s="11"/>
      <c r="F764" s="11"/>
      <c r="G764" s="42"/>
      <c r="H764" s="42"/>
      <c r="I764" s="42"/>
      <c r="J764" s="42"/>
      <c r="K764" s="42"/>
      <c r="L764" s="42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11"/>
      <c r="B765" s="11"/>
      <c r="C765" s="11"/>
      <c r="D765" s="11"/>
      <c r="E765" s="11"/>
      <c r="F765" s="11"/>
      <c r="G765" s="42"/>
      <c r="H765" s="42"/>
      <c r="I765" s="42"/>
      <c r="J765" s="42"/>
      <c r="K765" s="42"/>
      <c r="L765" s="42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11"/>
      <c r="B766" s="11"/>
      <c r="C766" s="11"/>
      <c r="D766" s="11"/>
      <c r="E766" s="11"/>
      <c r="F766" s="11"/>
      <c r="G766" s="42"/>
      <c r="H766" s="42"/>
      <c r="I766" s="42"/>
      <c r="J766" s="42"/>
      <c r="K766" s="42"/>
      <c r="L766" s="42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11"/>
      <c r="B767" s="11"/>
      <c r="C767" s="11"/>
      <c r="D767" s="11"/>
      <c r="E767" s="11"/>
      <c r="F767" s="11"/>
      <c r="G767" s="42"/>
      <c r="H767" s="42"/>
      <c r="I767" s="42"/>
      <c r="J767" s="42"/>
      <c r="K767" s="42"/>
      <c r="L767" s="42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11"/>
      <c r="B768" s="11"/>
      <c r="C768" s="11"/>
      <c r="D768" s="11"/>
      <c r="E768" s="11"/>
      <c r="F768" s="11"/>
      <c r="G768" s="42"/>
      <c r="H768" s="42"/>
      <c r="I768" s="42"/>
      <c r="J768" s="42"/>
      <c r="K768" s="42"/>
      <c r="L768" s="42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11"/>
      <c r="B769" s="11"/>
      <c r="C769" s="11"/>
      <c r="D769" s="11"/>
      <c r="E769" s="11"/>
      <c r="F769" s="11"/>
      <c r="G769" s="42"/>
      <c r="H769" s="42"/>
      <c r="I769" s="42"/>
      <c r="J769" s="42"/>
      <c r="K769" s="42"/>
      <c r="L769" s="42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11"/>
      <c r="B770" s="11"/>
      <c r="C770" s="11"/>
      <c r="D770" s="11"/>
      <c r="E770" s="11"/>
      <c r="F770" s="11"/>
      <c r="G770" s="42"/>
      <c r="H770" s="42"/>
      <c r="I770" s="42"/>
      <c r="J770" s="42"/>
      <c r="K770" s="42"/>
      <c r="L770" s="42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11"/>
      <c r="B771" s="11"/>
      <c r="C771" s="11"/>
      <c r="D771" s="11"/>
      <c r="E771" s="11"/>
      <c r="F771" s="11"/>
      <c r="G771" s="42"/>
      <c r="H771" s="42"/>
      <c r="I771" s="42"/>
      <c r="J771" s="42"/>
      <c r="K771" s="42"/>
      <c r="L771" s="42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11"/>
      <c r="B772" s="11"/>
      <c r="C772" s="11"/>
      <c r="D772" s="11"/>
      <c r="E772" s="11"/>
      <c r="F772" s="11"/>
      <c r="G772" s="42"/>
      <c r="H772" s="42"/>
      <c r="I772" s="42"/>
      <c r="J772" s="42"/>
      <c r="K772" s="42"/>
      <c r="L772" s="42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11"/>
      <c r="B773" s="11"/>
      <c r="C773" s="11"/>
      <c r="D773" s="11"/>
      <c r="E773" s="11"/>
      <c r="F773" s="11"/>
      <c r="G773" s="42"/>
      <c r="H773" s="42"/>
      <c r="I773" s="42"/>
      <c r="J773" s="42"/>
      <c r="K773" s="42"/>
      <c r="L773" s="42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11"/>
      <c r="B774" s="11"/>
      <c r="C774" s="11"/>
      <c r="D774" s="11"/>
      <c r="E774" s="11"/>
      <c r="F774" s="11"/>
      <c r="G774" s="42"/>
      <c r="H774" s="42"/>
      <c r="I774" s="42"/>
      <c r="J774" s="42"/>
      <c r="K774" s="42"/>
      <c r="L774" s="42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11"/>
      <c r="B775" s="11"/>
      <c r="C775" s="11"/>
      <c r="D775" s="11"/>
      <c r="E775" s="11"/>
      <c r="F775" s="11"/>
      <c r="G775" s="42"/>
      <c r="H775" s="42"/>
      <c r="I775" s="42"/>
      <c r="J775" s="42"/>
      <c r="K775" s="42"/>
      <c r="L775" s="42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11"/>
      <c r="B776" s="11"/>
      <c r="C776" s="11"/>
      <c r="D776" s="11"/>
      <c r="E776" s="11"/>
      <c r="F776" s="11"/>
      <c r="G776" s="42"/>
      <c r="H776" s="42"/>
      <c r="I776" s="42"/>
      <c r="J776" s="42"/>
      <c r="K776" s="42"/>
      <c r="L776" s="42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11"/>
      <c r="B777" s="11"/>
      <c r="C777" s="11"/>
      <c r="D777" s="11"/>
      <c r="E777" s="11"/>
      <c r="F777" s="11"/>
      <c r="G777" s="42"/>
      <c r="H777" s="42"/>
      <c r="I777" s="42"/>
      <c r="J777" s="42"/>
      <c r="K777" s="42"/>
      <c r="L777" s="42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11"/>
      <c r="B778" s="11"/>
      <c r="C778" s="11"/>
      <c r="D778" s="11"/>
      <c r="E778" s="11"/>
      <c r="F778" s="11"/>
      <c r="G778" s="42"/>
      <c r="H778" s="42"/>
      <c r="I778" s="42"/>
      <c r="J778" s="42"/>
      <c r="K778" s="42"/>
      <c r="L778" s="42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11"/>
      <c r="B779" s="11"/>
      <c r="C779" s="11"/>
      <c r="D779" s="11"/>
      <c r="E779" s="11"/>
      <c r="F779" s="11"/>
      <c r="G779" s="42"/>
      <c r="H779" s="42"/>
      <c r="I779" s="42"/>
      <c r="J779" s="42"/>
      <c r="K779" s="42"/>
      <c r="L779" s="42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11"/>
      <c r="B780" s="11"/>
      <c r="C780" s="11"/>
      <c r="D780" s="11"/>
      <c r="E780" s="11"/>
      <c r="F780" s="11"/>
      <c r="G780" s="42"/>
      <c r="H780" s="42"/>
      <c r="I780" s="42"/>
      <c r="J780" s="42"/>
      <c r="K780" s="42"/>
      <c r="L780" s="42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11"/>
      <c r="B781" s="11"/>
      <c r="C781" s="11"/>
      <c r="D781" s="11"/>
      <c r="E781" s="11"/>
      <c r="F781" s="11"/>
      <c r="G781" s="42"/>
      <c r="H781" s="42"/>
      <c r="I781" s="42"/>
      <c r="J781" s="42"/>
      <c r="K781" s="42"/>
      <c r="L781" s="42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11"/>
      <c r="B782" s="11"/>
      <c r="C782" s="11"/>
      <c r="D782" s="11"/>
      <c r="E782" s="11"/>
      <c r="F782" s="11"/>
      <c r="G782" s="42"/>
      <c r="H782" s="42"/>
      <c r="I782" s="42"/>
      <c r="J782" s="42"/>
      <c r="K782" s="42"/>
      <c r="L782" s="42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11"/>
      <c r="B783" s="11"/>
      <c r="C783" s="11"/>
      <c r="D783" s="11"/>
      <c r="E783" s="11"/>
      <c r="F783" s="11"/>
      <c r="G783" s="42"/>
      <c r="H783" s="42"/>
      <c r="I783" s="42"/>
      <c r="J783" s="42"/>
      <c r="K783" s="42"/>
      <c r="L783" s="42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11"/>
      <c r="B784" s="11"/>
      <c r="C784" s="11"/>
      <c r="D784" s="11"/>
      <c r="E784" s="11"/>
      <c r="F784" s="11"/>
      <c r="G784" s="42"/>
      <c r="H784" s="42"/>
      <c r="I784" s="42"/>
      <c r="J784" s="42"/>
      <c r="K784" s="42"/>
      <c r="L784" s="42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11"/>
      <c r="B785" s="11"/>
      <c r="C785" s="11"/>
      <c r="D785" s="11"/>
      <c r="E785" s="11"/>
      <c r="F785" s="11"/>
      <c r="G785" s="42"/>
      <c r="H785" s="42"/>
      <c r="I785" s="42"/>
      <c r="J785" s="42"/>
      <c r="K785" s="42"/>
      <c r="L785" s="42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11"/>
      <c r="B786" s="11"/>
      <c r="C786" s="11"/>
      <c r="D786" s="11"/>
      <c r="E786" s="11"/>
      <c r="F786" s="11"/>
      <c r="G786" s="42"/>
      <c r="H786" s="42"/>
      <c r="I786" s="42"/>
      <c r="J786" s="42"/>
      <c r="K786" s="42"/>
      <c r="L786" s="42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11"/>
      <c r="B787" s="11"/>
      <c r="C787" s="11"/>
      <c r="D787" s="11"/>
      <c r="E787" s="11"/>
      <c r="F787" s="11"/>
      <c r="G787" s="42"/>
      <c r="H787" s="42"/>
      <c r="I787" s="42"/>
      <c r="J787" s="42"/>
      <c r="K787" s="42"/>
      <c r="L787" s="42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11"/>
      <c r="B788" s="11"/>
      <c r="C788" s="11"/>
      <c r="D788" s="11"/>
      <c r="E788" s="11"/>
      <c r="F788" s="11"/>
      <c r="G788" s="42"/>
      <c r="H788" s="42"/>
      <c r="I788" s="42"/>
      <c r="J788" s="42"/>
      <c r="K788" s="42"/>
      <c r="L788" s="42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11"/>
      <c r="B789" s="11"/>
      <c r="C789" s="11"/>
      <c r="D789" s="11"/>
      <c r="E789" s="11"/>
      <c r="F789" s="11"/>
      <c r="G789" s="42"/>
      <c r="H789" s="42"/>
      <c r="I789" s="42"/>
      <c r="J789" s="42"/>
      <c r="K789" s="42"/>
      <c r="L789" s="42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11"/>
      <c r="B790" s="11"/>
      <c r="C790" s="11"/>
      <c r="D790" s="11"/>
      <c r="E790" s="11"/>
      <c r="F790" s="11"/>
      <c r="G790" s="42"/>
      <c r="H790" s="42"/>
      <c r="I790" s="42"/>
      <c r="J790" s="42"/>
      <c r="K790" s="42"/>
      <c r="L790" s="42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11"/>
      <c r="B791" s="11"/>
      <c r="C791" s="11"/>
      <c r="D791" s="11"/>
      <c r="E791" s="11"/>
      <c r="F791" s="11"/>
      <c r="G791" s="42"/>
      <c r="H791" s="42"/>
      <c r="I791" s="42"/>
      <c r="J791" s="42"/>
      <c r="K791" s="42"/>
      <c r="L791" s="42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11"/>
      <c r="B792" s="11"/>
      <c r="C792" s="11"/>
      <c r="D792" s="11"/>
      <c r="E792" s="11"/>
      <c r="F792" s="11"/>
      <c r="G792" s="42"/>
      <c r="H792" s="42"/>
      <c r="I792" s="42"/>
      <c r="J792" s="42"/>
      <c r="K792" s="42"/>
      <c r="L792" s="42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11"/>
      <c r="B793" s="11"/>
      <c r="C793" s="11"/>
      <c r="D793" s="11"/>
      <c r="E793" s="11"/>
      <c r="F793" s="11"/>
      <c r="G793" s="42"/>
      <c r="H793" s="42"/>
      <c r="I793" s="42"/>
      <c r="J793" s="42"/>
      <c r="K793" s="42"/>
      <c r="L793" s="42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11"/>
      <c r="B794" s="11"/>
      <c r="C794" s="11"/>
      <c r="D794" s="11"/>
      <c r="E794" s="11"/>
      <c r="F794" s="11"/>
      <c r="G794" s="42"/>
      <c r="H794" s="42"/>
      <c r="I794" s="42"/>
      <c r="J794" s="42"/>
      <c r="K794" s="42"/>
      <c r="L794" s="42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11"/>
      <c r="B795" s="11"/>
      <c r="C795" s="11"/>
      <c r="D795" s="11"/>
      <c r="E795" s="11"/>
      <c r="F795" s="11"/>
      <c r="G795" s="42"/>
      <c r="H795" s="42"/>
      <c r="I795" s="42"/>
      <c r="J795" s="42"/>
      <c r="K795" s="42"/>
      <c r="L795" s="42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11"/>
      <c r="B796" s="11"/>
      <c r="C796" s="11"/>
      <c r="D796" s="11"/>
      <c r="E796" s="11"/>
      <c r="F796" s="11"/>
      <c r="G796" s="42"/>
      <c r="H796" s="42"/>
      <c r="I796" s="42"/>
      <c r="J796" s="42"/>
      <c r="K796" s="42"/>
      <c r="L796" s="42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11"/>
      <c r="B797" s="11"/>
      <c r="C797" s="11"/>
      <c r="D797" s="11"/>
      <c r="E797" s="11"/>
      <c r="F797" s="11"/>
      <c r="G797" s="42"/>
      <c r="H797" s="42"/>
      <c r="I797" s="42"/>
      <c r="J797" s="42"/>
      <c r="K797" s="42"/>
      <c r="L797" s="42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11"/>
      <c r="B798" s="11"/>
      <c r="C798" s="11"/>
      <c r="D798" s="11"/>
      <c r="E798" s="11"/>
      <c r="F798" s="11"/>
      <c r="G798" s="42"/>
      <c r="H798" s="42"/>
      <c r="I798" s="42"/>
      <c r="J798" s="42"/>
      <c r="K798" s="42"/>
      <c r="L798" s="42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11"/>
      <c r="B799" s="11"/>
      <c r="C799" s="11"/>
      <c r="D799" s="11"/>
      <c r="E799" s="11"/>
      <c r="F799" s="11"/>
      <c r="G799" s="42"/>
      <c r="H799" s="42"/>
      <c r="I799" s="42"/>
      <c r="J799" s="42"/>
      <c r="K799" s="42"/>
      <c r="L799" s="42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11"/>
      <c r="B800" s="11"/>
      <c r="C800" s="11"/>
      <c r="D800" s="11"/>
      <c r="E800" s="11"/>
      <c r="F800" s="11"/>
      <c r="G800" s="42"/>
      <c r="H800" s="42"/>
      <c r="I800" s="42"/>
      <c r="J800" s="42"/>
      <c r="K800" s="42"/>
      <c r="L800" s="42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11"/>
      <c r="B801" s="11"/>
      <c r="C801" s="11"/>
      <c r="D801" s="11"/>
      <c r="E801" s="11"/>
      <c r="F801" s="11"/>
      <c r="G801" s="42"/>
      <c r="H801" s="42"/>
      <c r="I801" s="42"/>
      <c r="J801" s="42"/>
      <c r="K801" s="42"/>
      <c r="L801" s="42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11"/>
      <c r="B802" s="11"/>
      <c r="C802" s="11"/>
      <c r="D802" s="11"/>
      <c r="E802" s="11"/>
      <c r="F802" s="11"/>
      <c r="G802" s="42"/>
      <c r="H802" s="42"/>
      <c r="I802" s="42"/>
      <c r="J802" s="42"/>
      <c r="K802" s="42"/>
      <c r="L802" s="42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11"/>
      <c r="B803" s="11"/>
      <c r="C803" s="11"/>
      <c r="D803" s="11"/>
      <c r="E803" s="11"/>
      <c r="F803" s="11"/>
      <c r="G803" s="42"/>
      <c r="H803" s="42"/>
      <c r="I803" s="42"/>
      <c r="J803" s="42"/>
      <c r="K803" s="42"/>
      <c r="L803" s="42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11"/>
      <c r="B804" s="11"/>
      <c r="C804" s="11"/>
      <c r="D804" s="11"/>
      <c r="E804" s="11"/>
      <c r="F804" s="11"/>
      <c r="G804" s="42"/>
      <c r="H804" s="42"/>
      <c r="I804" s="42"/>
      <c r="J804" s="42"/>
      <c r="K804" s="42"/>
      <c r="L804" s="42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11"/>
      <c r="B805" s="11"/>
      <c r="C805" s="11"/>
      <c r="D805" s="11"/>
      <c r="E805" s="11"/>
      <c r="F805" s="11"/>
      <c r="G805" s="42"/>
      <c r="H805" s="42"/>
      <c r="I805" s="42"/>
      <c r="J805" s="42"/>
      <c r="K805" s="42"/>
      <c r="L805" s="42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11"/>
      <c r="B806" s="11"/>
      <c r="C806" s="11"/>
      <c r="D806" s="11"/>
      <c r="E806" s="11"/>
      <c r="F806" s="11"/>
      <c r="G806" s="42"/>
      <c r="H806" s="42"/>
      <c r="I806" s="42"/>
      <c r="J806" s="42"/>
      <c r="K806" s="42"/>
      <c r="L806" s="42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11"/>
      <c r="B807" s="11"/>
      <c r="C807" s="11"/>
      <c r="D807" s="11"/>
      <c r="E807" s="11"/>
      <c r="F807" s="11"/>
      <c r="G807" s="42"/>
      <c r="H807" s="42"/>
      <c r="I807" s="42"/>
      <c r="J807" s="42"/>
      <c r="K807" s="42"/>
      <c r="L807" s="42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11"/>
      <c r="B808" s="11"/>
      <c r="C808" s="11"/>
      <c r="D808" s="11"/>
      <c r="E808" s="11"/>
      <c r="F808" s="11"/>
      <c r="G808" s="42"/>
      <c r="H808" s="42"/>
      <c r="I808" s="42"/>
      <c r="J808" s="42"/>
      <c r="K808" s="42"/>
      <c r="L808" s="42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11"/>
      <c r="B809" s="11"/>
      <c r="C809" s="11"/>
      <c r="D809" s="11"/>
      <c r="E809" s="11"/>
      <c r="F809" s="11"/>
      <c r="G809" s="42"/>
      <c r="H809" s="42"/>
      <c r="I809" s="42"/>
      <c r="J809" s="42"/>
      <c r="K809" s="42"/>
      <c r="L809" s="42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11"/>
      <c r="B810" s="11"/>
      <c r="C810" s="11"/>
      <c r="D810" s="11"/>
      <c r="E810" s="11"/>
      <c r="F810" s="11"/>
      <c r="G810" s="42"/>
      <c r="H810" s="42"/>
      <c r="I810" s="42"/>
      <c r="J810" s="42"/>
      <c r="K810" s="42"/>
      <c r="L810" s="42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11"/>
      <c r="B811" s="11"/>
      <c r="C811" s="11"/>
      <c r="D811" s="11"/>
      <c r="E811" s="11"/>
      <c r="F811" s="11"/>
      <c r="G811" s="42"/>
      <c r="H811" s="42"/>
      <c r="I811" s="42"/>
      <c r="J811" s="42"/>
      <c r="K811" s="42"/>
      <c r="L811" s="42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11"/>
      <c r="B812" s="11"/>
      <c r="C812" s="11"/>
      <c r="D812" s="11"/>
      <c r="E812" s="11"/>
      <c r="F812" s="11"/>
      <c r="G812" s="42"/>
      <c r="H812" s="42"/>
      <c r="I812" s="42"/>
      <c r="J812" s="42"/>
      <c r="K812" s="42"/>
      <c r="L812" s="42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11"/>
      <c r="B813" s="11"/>
      <c r="C813" s="11"/>
      <c r="D813" s="11"/>
      <c r="E813" s="11"/>
      <c r="F813" s="11"/>
      <c r="G813" s="42"/>
      <c r="H813" s="42"/>
      <c r="I813" s="42"/>
      <c r="J813" s="42"/>
      <c r="K813" s="42"/>
      <c r="L813" s="42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11"/>
      <c r="B814" s="11"/>
      <c r="C814" s="11"/>
      <c r="D814" s="11"/>
      <c r="E814" s="11"/>
      <c r="F814" s="11"/>
      <c r="G814" s="42"/>
      <c r="H814" s="42"/>
      <c r="I814" s="42"/>
      <c r="J814" s="42"/>
      <c r="K814" s="42"/>
      <c r="L814" s="42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11"/>
      <c r="B815" s="11"/>
      <c r="C815" s="11"/>
      <c r="D815" s="11"/>
      <c r="E815" s="11"/>
      <c r="F815" s="11"/>
      <c r="G815" s="42"/>
      <c r="H815" s="42"/>
      <c r="I815" s="42"/>
      <c r="J815" s="42"/>
      <c r="K815" s="42"/>
      <c r="L815" s="42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11"/>
      <c r="B816" s="11"/>
      <c r="C816" s="11"/>
      <c r="D816" s="11"/>
      <c r="E816" s="11"/>
      <c r="F816" s="11"/>
      <c r="G816" s="42"/>
      <c r="H816" s="42"/>
      <c r="I816" s="42"/>
      <c r="J816" s="42"/>
      <c r="K816" s="42"/>
      <c r="L816" s="42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11"/>
      <c r="B817" s="11"/>
      <c r="C817" s="11"/>
      <c r="D817" s="11"/>
      <c r="E817" s="11"/>
      <c r="F817" s="11"/>
      <c r="G817" s="42"/>
      <c r="H817" s="42"/>
      <c r="I817" s="42"/>
      <c r="J817" s="42"/>
      <c r="K817" s="42"/>
      <c r="L817" s="42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11"/>
      <c r="B818" s="11"/>
      <c r="C818" s="11"/>
      <c r="D818" s="11"/>
      <c r="E818" s="11"/>
      <c r="F818" s="11"/>
      <c r="G818" s="42"/>
      <c r="H818" s="42"/>
      <c r="I818" s="42"/>
      <c r="J818" s="42"/>
      <c r="K818" s="42"/>
      <c r="L818" s="42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11"/>
      <c r="B819" s="11"/>
      <c r="C819" s="11"/>
      <c r="D819" s="11"/>
      <c r="E819" s="11"/>
      <c r="F819" s="11"/>
      <c r="G819" s="42"/>
      <c r="H819" s="42"/>
      <c r="I819" s="42"/>
      <c r="J819" s="42"/>
      <c r="K819" s="42"/>
      <c r="L819" s="42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11"/>
      <c r="B820" s="11"/>
      <c r="C820" s="11"/>
      <c r="D820" s="11"/>
      <c r="E820" s="11"/>
      <c r="F820" s="11"/>
      <c r="G820" s="42"/>
      <c r="H820" s="42"/>
      <c r="I820" s="42"/>
      <c r="J820" s="42"/>
      <c r="K820" s="42"/>
      <c r="L820" s="42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11"/>
      <c r="B821" s="11"/>
      <c r="C821" s="11"/>
      <c r="D821" s="11"/>
      <c r="E821" s="11"/>
      <c r="F821" s="11"/>
      <c r="G821" s="42"/>
      <c r="H821" s="42"/>
      <c r="I821" s="42"/>
      <c r="J821" s="42"/>
      <c r="K821" s="42"/>
      <c r="L821" s="42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11"/>
      <c r="B822" s="11"/>
      <c r="C822" s="11"/>
      <c r="D822" s="11"/>
      <c r="E822" s="11"/>
      <c r="F822" s="11"/>
      <c r="G822" s="42"/>
      <c r="H822" s="42"/>
      <c r="I822" s="42"/>
      <c r="J822" s="42"/>
      <c r="K822" s="42"/>
      <c r="L822" s="42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11"/>
      <c r="B823" s="11"/>
      <c r="C823" s="11"/>
      <c r="D823" s="11"/>
      <c r="E823" s="11"/>
      <c r="F823" s="11"/>
      <c r="G823" s="42"/>
      <c r="H823" s="42"/>
      <c r="I823" s="42"/>
      <c r="J823" s="42"/>
      <c r="K823" s="42"/>
      <c r="L823" s="42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11"/>
      <c r="B824" s="11"/>
      <c r="C824" s="11"/>
      <c r="D824" s="11"/>
      <c r="E824" s="11"/>
      <c r="F824" s="11"/>
      <c r="G824" s="42"/>
      <c r="H824" s="42"/>
      <c r="I824" s="42"/>
      <c r="J824" s="42"/>
      <c r="K824" s="42"/>
      <c r="L824" s="42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11"/>
      <c r="B825" s="11"/>
      <c r="C825" s="11"/>
      <c r="D825" s="11"/>
      <c r="E825" s="11"/>
      <c r="F825" s="11"/>
      <c r="G825" s="42"/>
      <c r="H825" s="42"/>
      <c r="I825" s="42"/>
      <c r="J825" s="42"/>
      <c r="K825" s="42"/>
      <c r="L825" s="42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11"/>
      <c r="B826" s="11"/>
      <c r="C826" s="11"/>
      <c r="D826" s="11"/>
      <c r="E826" s="11"/>
      <c r="F826" s="11"/>
      <c r="G826" s="42"/>
      <c r="H826" s="42"/>
      <c r="I826" s="42"/>
      <c r="J826" s="42"/>
      <c r="K826" s="42"/>
      <c r="L826" s="42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11"/>
      <c r="B827" s="11"/>
      <c r="C827" s="11"/>
      <c r="D827" s="11"/>
      <c r="E827" s="11"/>
      <c r="F827" s="11"/>
      <c r="G827" s="42"/>
      <c r="H827" s="42"/>
      <c r="I827" s="42"/>
      <c r="J827" s="42"/>
      <c r="K827" s="42"/>
      <c r="L827" s="42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11"/>
      <c r="B828" s="11"/>
      <c r="C828" s="11"/>
      <c r="D828" s="11"/>
      <c r="E828" s="11"/>
      <c r="F828" s="11"/>
      <c r="G828" s="42"/>
      <c r="H828" s="42"/>
      <c r="I828" s="42"/>
      <c r="J828" s="42"/>
      <c r="K828" s="42"/>
      <c r="L828" s="42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11"/>
      <c r="B829" s="11"/>
      <c r="C829" s="11"/>
      <c r="D829" s="11"/>
      <c r="E829" s="11"/>
      <c r="F829" s="11"/>
      <c r="G829" s="42"/>
      <c r="H829" s="42"/>
      <c r="I829" s="42"/>
      <c r="J829" s="42"/>
      <c r="K829" s="42"/>
      <c r="L829" s="42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11"/>
      <c r="B830" s="11"/>
      <c r="C830" s="11"/>
      <c r="D830" s="11"/>
      <c r="E830" s="11"/>
      <c r="F830" s="11"/>
      <c r="G830" s="42"/>
      <c r="H830" s="42"/>
      <c r="I830" s="42"/>
      <c r="J830" s="42"/>
      <c r="K830" s="42"/>
      <c r="L830" s="42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11"/>
      <c r="B831" s="11"/>
      <c r="C831" s="11"/>
      <c r="D831" s="11"/>
      <c r="E831" s="11"/>
      <c r="F831" s="11"/>
      <c r="G831" s="42"/>
      <c r="H831" s="42"/>
      <c r="I831" s="42"/>
      <c r="J831" s="42"/>
      <c r="K831" s="42"/>
      <c r="L831" s="42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11"/>
      <c r="B832" s="11"/>
      <c r="C832" s="11"/>
      <c r="D832" s="11"/>
      <c r="E832" s="11"/>
      <c r="F832" s="11"/>
      <c r="G832" s="42"/>
      <c r="H832" s="42"/>
      <c r="I832" s="42"/>
      <c r="J832" s="42"/>
      <c r="K832" s="42"/>
      <c r="L832" s="42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11"/>
      <c r="B833" s="11"/>
      <c r="C833" s="11"/>
      <c r="D833" s="11"/>
      <c r="E833" s="11"/>
      <c r="F833" s="11"/>
      <c r="G833" s="42"/>
      <c r="H833" s="42"/>
      <c r="I833" s="42"/>
      <c r="J833" s="42"/>
      <c r="K833" s="42"/>
      <c r="L833" s="42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11"/>
      <c r="B834" s="11"/>
      <c r="C834" s="11"/>
      <c r="D834" s="11"/>
      <c r="E834" s="11"/>
      <c r="F834" s="11"/>
      <c r="G834" s="42"/>
      <c r="H834" s="42"/>
      <c r="I834" s="42"/>
      <c r="J834" s="42"/>
      <c r="K834" s="42"/>
      <c r="L834" s="42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11"/>
      <c r="B835" s="11"/>
      <c r="C835" s="11"/>
      <c r="D835" s="11"/>
      <c r="E835" s="11"/>
      <c r="F835" s="11"/>
      <c r="G835" s="42"/>
      <c r="H835" s="42"/>
      <c r="I835" s="42"/>
      <c r="J835" s="42"/>
      <c r="K835" s="42"/>
      <c r="L835" s="42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11"/>
      <c r="B836" s="11"/>
      <c r="C836" s="11"/>
      <c r="D836" s="11"/>
      <c r="E836" s="11"/>
      <c r="F836" s="11"/>
      <c r="G836" s="42"/>
      <c r="H836" s="42"/>
      <c r="I836" s="42"/>
      <c r="J836" s="42"/>
      <c r="K836" s="42"/>
      <c r="L836" s="42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11"/>
      <c r="B837" s="11"/>
      <c r="C837" s="11"/>
      <c r="D837" s="11"/>
      <c r="E837" s="11"/>
      <c r="F837" s="11"/>
      <c r="G837" s="42"/>
      <c r="H837" s="42"/>
      <c r="I837" s="42"/>
      <c r="J837" s="42"/>
      <c r="K837" s="42"/>
      <c r="L837" s="42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11"/>
      <c r="B838" s="11"/>
      <c r="C838" s="11"/>
      <c r="D838" s="11"/>
      <c r="E838" s="11"/>
      <c r="F838" s="11"/>
      <c r="G838" s="42"/>
      <c r="H838" s="42"/>
      <c r="I838" s="42"/>
      <c r="J838" s="42"/>
      <c r="K838" s="42"/>
      <c r="L838" s="42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11"/>
      <c r="B839" s="11"/>
      <c r="C839" s="11"/>
      <c r="D839" s="11"/>
      <c r="E839" s="11"/>
      <c r="F839" s="11"/>
      <c r="G839" s="42"/>
      <c r="H839" s="42"/>
      <c r="I839" s="42"/>
      <c r="J839" s="42"/>
      <c r="K839" s="42"/>
      <c r="L839" s="42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11"/>
      <c r="B840" s="11"/>
      <c r="C840" s="11"/>
      <c r="D840" s="11"/>
      <c r="E840" s="11"/>
      <c r="F840" s="11"/>
      <c r="G840" s="42"/>
      <c r="H840" s="42"/>
      <c r="I840" s="42"/>
      <c r="J840" s="42"/>
      <c r="K840" s="42"/>
      <c r="L840" s="42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11"/>
      <c r="B841" s="11"/>
      <c r="C841" s="11"/>
      <c r="D841" s="11"/>
      <c r="E841" s="11"/>
      <c r="F841" s="11"/>
      <c r="G841" s="42"/>
      <c r="H841" s="42"/>
      <c r="I841" s="42"/>
      <c r="J841" s="42"/>
      <c r="K841" s="42"/>
      <c r="L841" s="42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11"/>
      <c r="B842" s="11"/>
      <c r="C842" s="11"/>
      <c r="D842" s="11"/>
      <c r="E842" s="11"/>
      <c r="F842" s="11"/>
      <c r="G842" s="42"/>
      <c r="H842" s="42"/>
      <c r="I842" s="42"/>
      <c r="J842" s="42"/>
      <c r="K842" s="42"/>
      <c r="L842" s="42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11"/>
      <c r="B843" s="11"/>
      <c r="C843" s="11"/>
      <c r="D843" s="11"/>
      <c r="E843" s="11"/>
      <c r="F843" s="11"/>
      <c r="G843" s="42"/>
      <c r="H843" s="42"/>
      <c r="I843" s="42"/>
      <c r="J843" s="42"/>
      <c r="K843" s="42"/>
      <c r="L843" s="42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11"/>
      <c r="B844" s="11"/>
      <c r="C844" s="11"/>
      <c r="D844" s="11"/>
      <c r="E844" s="11"/>
      <c r="F844" s="11"/>
      <c r="G844" s="42"/>
      <c r="H844" s="42"/>
      <c r="I844" s="42"/>
      <c r="J844" s="42"/>
      <c r="K844" s="42"/>
      <c r="L844" s="42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11"/>
      <c r="B845" s="11"/>
      <c r="C845" s="11"/>
      <c r="D845" s="11"/>
      <c r="E845" s="11"/>
      <c r="F845" s="11"/>
      <c r="G845" s="42"/>
      <c r="H845" s="42"/>
      <c r="I845" s="42"/>
      <c r="J845" s="42"/>
      <c r="K845" s="42"/>
      <c r="L845" s="42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11"/>
      <c r="B846" s="11"/>
      <c r="C846" s="11"/>
      <c r="D846" s="11"/>
      <c r="E846" s="11"/>
      <c r="F846" s="11"/>
      <c r="G846" s="42"/>
      <c r="H846" s="42"/>
      <c r="I846" s="42"/>
      <c r="J846" s="42"/>
      <c r="K846" s="42"/>
      <c r="L846" s="42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11"/>
      <c r="B847" s="11"/>
      <c r="C847" s="11"/>
      <c r="D847" s="11"/>
      <c r="E847" s="11"/>
      <c r="F847" s="11"/>
      <c r="G847" s="42"/>
      <c r="H847" s="42"/>
      <c r="I847" s="42"/>
      <c r="J847" s="42"/>
      <c r="K847" s="42"/>
      <c r="L847" s="42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11"/>
      <c r="B848" s="11"/>
      <c r="C848" s="11"/>
      <c r="D848" s="11"/>
      <c r="E848" s="11"/>
      <c r="F848" s="11"/>
      <c r="G848" s="42"/>
      <c r="H848" s="42"/>
      <c r="I848" s="42"/>
      <c r="J848" s="42"/>
      <c r="K848" s="42"/>
      <c r="L848" s="42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11"/>
      <c r="B849" s="11"/>
      <c r="C849" s="11"/>
      <c r="D849" s="11"/>
      <c r="E849" s="11"/>
      <c r="F849" s="11"/>
      <c r="G849" s="42"/>
      <c r="H849" s="42"/>
      <c r="I849" s="42"/>
      <c r="J849" s="42"/>
      <c r="K849" s="42"/>
      <c r="L849" s="42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11"/>
      <c r="B850" s="11"/>
      <c r="C850" s="11"/>
      <c r="D850" s="11"/>
      <c r="E850" s="11"/>
      <c r="F850" s="11"/>
      <c r="G850" s="42"/>
      <c r="H850" s="42"/>
      <c r="I850" s="42"/>
      <c r="J850" s="42"/>
      <c r="K850" s="42"/>
      <c r="L850" s="42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11"/>
      <c r="B851" s="11"/>
      <c r="C851" s="11"/>
      <c r="D851" s="11"/>
      <c r="E851" s="11"/>
      <c r="F851" s="11"/>
      <c r="G851" s="42"/>
      <c r="H851" s="42"/>
      <c r="I851" s="42"/>
      <c r="J851" s="42"/>
      <c r="K851" s="42"/>
      <c r="L851" s="42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11"/>
      <c r="B852" s="11"/>
      <c r="C852" s="11"/>
      <c r="D852" s="11"/>
      <c r="E852" s="11"/>
      <c r="F852" s="11"/>
      <c r="G852" s="42"/>
      <c r="H852" s="42"/>
      <c r="I852" s="42"/>
      <c r="J852" s="42"/>
      <c r="K852" s="42"/>
      <c r="L852" s="42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11"/>
      <c r="B853" s="11"/>
      <c r="C853" s="11"/>
      <c r="D853" s="11"/>
      <c r="E853" s="11"/>
      <c r="F853" s="11"/>
      <c r="G853" s="42"/>
      <c r="H853" s="42"/>
      <c r="I853" s="42"/>
      <c r="J853" s="42"/>
      <c r="K853" s="42"/>
      <c r="L853" s="42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11"/>
      <c r="B854" s="11"/>
      <c r="C854" s="11"/>
      <c r="D854" s="11"/>
      <c r="E854" s="11"/>
      <c r="F854" s="11"/>
      <c r="G854" s="42"/>
      <c r="H854" s="42"/>
      <c r="I854" s="42"/>
      <c r="J854" s="42"/>
      <c r="K854" s="42"/>
      <c r="L854" s="42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11"/>
      <c r="B855" s="11"/>
      <c r="C855" s="11"/>
      <c r="D855" s="11"/>
      <c r="E855" s="11"/>
      <c r="F855" s="11"/>
      <c r="G855" s="42"/>
      <c r="H855" s="42"/>
      <c r="I855" s="42"/>
      <c r="J855" s="42"/>
      <c r="K855" s="42"/>
      <c r="L855" s="42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11"/>
      <c r="B856" s="11"/>
      <c r="C856" s="11"/>
      <c r="D856" s="11"/>
      <c r="E856" s="11"/>
      <c r="F856" s="11"/>
      <c r="G856" s="42"/>
      <c r="H856" s="42"/>
      <c r="I856" s="42"/>
      <c r="J856" s="42"/>
      <c r="K856" s="42"/>
      <c r="L856" s="42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11"/>
      <c r="B857" s="11"/>
      <c r="C857" s="11"/>
      <c r="D857" s="11"/>
      <c r="E857" s="11"/>
      <c r="F857" s="11"/>
      <c r="G857" s="42"/>
      <c r="H857" s="42"/>
      <c r="I857" s="42"/>
      <c r="J857" s="42"/>
      <c r="K857" s="42"/>
      <c r="L857" s="42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11"/>
      <c r="B858" s="11"/>
      <c r="C858" s="11"/>
      <c r="D858" s="11"/>
      <c r="E858" s="11"/>
      <c r="F858" s="11"/>
      <c r="G858" s="42"/>
      <c r="H858" s="42"/>
      <c r="I858" s="42"/>
      <c r="J858" s="42"/>
      <c r="K858" s="42"/>
      <c r="L858" s="42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11"/>
      <c r="B859" s="11"/>
      <c r="C859" s="11"/>
      <c r="D859" s="11"/>
      <c r="E859" s="11"/>
      <c r="F859" s="11"/>
      <c r="G859" s="42"/>
      <c r="H859" s="42"/>
      <c r="I859" s="42"/>
      <c r="J859" s="42"/>
      <c r="K859" s="42"/>
      <c r="L859" s="42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11"/>
      <c r="B860" s="11"/>
      <c r="C860" s="11"/>
      <c r="D860" s="11"/>
      <c r="E860" s="11"/>
      <c r="F860" s="11"/>
      <c r="G860" s="42"/>
      <c r="H860" s="42"/>
      <c r="I860" s="42"/>
      <c r="J860" s="42"/>
      <c r="K860" s="42"/>
      <c r="L860" s="42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11"/>
      <c r="B861" s="11"/>
      <c r="C861" s="11"/>
      <c r="D861" s="11"/>
      <c r="E861" s="11"/>
      <c r="F861" s="11"/>
      <c r="G861" s="42"/>
      <c r="H861" s="42"/>
      <c r="I861" s="42"/>
      <c r="J861" s="42"/>
      <c r="K861" s="42"/>
      <c r="L861" s="42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11"/>
      <c r="B862" s="11"/>
      <c r="C862" s="11"/>
      <c r="D862" s="11"/>
      <c r="E862" s="11"/>
      <c r="F862" s="11"/>
      <c r="G862" s="42"/>
      <c r="H862" s="42"/>
      <c r="I862" s="42"/>
      <c r="J862" s="42"/>
      <c r="K862" s="42"/>
      <c r="L862" s="42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11"/>
      <c r="B863" s="11"/>
      <c r="C863" s="11"/>
      <c r="D863" s="11"/>
      <c r="E863" s="11"/>
      <c r="F863" s="11"/>
      <c r="G863" s="42"/>
      <c r="H863" s="42"/>
      <c r="I863" s="42"/>
      <c r="J863" s="42"/>
      <c r="K863" s="42"/>
      <c r="L863" s="42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11"/>
      <c r="B864" s="11"/>
      <c r="C864" s="11"/>
      <c r="D864" s="11"/>
      <c r="E864" s="11"/>
      <c r="F864" s="11"/>
      <c r="G864" s="42"/>
      <c r="H864" s="42"/>
      <c r="I864" s="42"/>
      <c r="J864" s="42"/>
      <c r="K864" s="42"/>
      <c r="L864" s="42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11"/>
      <c r="B865" s="11"/>
      <c r="C865" s="11"/>
      <c r="D865" s="11"/>
      <c r="E865" s="11"/>
      <c r="F865" s="11"/>
      <c r="G865" s="42"/>
      <c r="H865" s="42"/>
      <c r="I865" s="42"/>
      <c r="J865" s="42"/>
      <c r="K865" s="42"/>
      <c r="L865" s="42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11"/>
      <c r="B866" s="11"/>
      <c r="C866" s="11"/>
      <c r="D866" s="11"/>
      <c r="E866" s="11"/>
      <c r="F866" s="11"/>
      <c r="G866" s="42"/>
      <c r="H866" s="42"/>
      <c r="I866" s="42"/>
      <c r="J866" s="42"/>
      <c r="K866" s="42"/>
      <c r="L866" s="42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11"/>
      <c r="B867" s="11"/>
      <c r="C867" s="11"/>
      <c r="D867" s="11"/>
      <c r="E867" s="11"/>
      <c r="F867" s="11"/>
      <c r="G867" s="42"/>
      <c r="H867" s="42"/>
      <c r="I867" s="42"/>
      <c r="J867" s="42"/>
      <c r="K867" s="42"/>
      <c r="L867" s="42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11"/>
      <c r="B868" s="11"/>
      <c r="C868" s="11"/>
      <c r="D868" s="11"/>
      <c r="E868" s="11"/>
      <c r="F868" s="11"/>
      <c r="G868" s="42"/>
      <c r="H868" s="42"/>
      <c r="I868" s="42"/>
      <c r="J868" s="42"/>
      <c r="K868" s="42"/>
      <c r="L868" s="42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11"/>
      <c r="B869" s="11"/>
      <c r="C869" s="11"/>
      <c r="D869" s="11"/>
      <c r="E869" s="11"/>
      <c r="F869" s="11"/>
      <c r="G869" s="42"/>
      <c r="H869" s="42"/>
      <c r="I869" s="42"/>
      <c r="J869" s="42"/>
      <c r="K869" s="42"/>
      <c r="L869" s="42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11"/>
      <c r="B870" s="11"/>
      <c r="C870" s="11"/>
      <c r="D870" s="11"/>
      <c r="E870" s="11"/>
      <c r="F870" s="11"/>
      <c r="G870" s="42"/>
      <c r="H870" s="42"/>
      <c r="I870" s="42"/>
      <c r="J870" s="42"/>
      <c r="K870" s="42"/>
      <c r="L870" s="42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11"/>
      <c r="B871" s="11"/>
      <c r="C871" s="11"/>
      <c r="D871" s="11"/>
      <c r="E871" s="11"/>
      <c r="F871" s="11"/>
      <c r="G871" s="42"/>
      <c r="H871" s="42"/>
      <c r="I871" s="42"/>
      <c r="J871" s="42"/>
      <c r="K871" s="42"/>
      <c r="L871" s="42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11"/>
      <c r="B872" s="11"/>
      <c r="C872" s="11"/>
      <c r="D872" s="11"/>
      <c r="E872" s="11"/>
      <c r="F872" s="11"/>
      <c r="G872" s="42"/>
      <c r="H872" s="42"/>
      <c r="I872" s="42"/>
      <c r="J872" s="42"/>
      <c r="K872" s="42"/>
      <c r="L872" s="42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11"/>
      <c r="B873" s="11"/>
      <c r="C873" s="11"/>
      <c r="D873" s="11"/>
      <c r="E873" s="11"/>
      <c r="F873" s="11"/>
      <c r="G873" s="42"/>
      <c r="H873" s="42"/>
      <c r="I873" s="42"/>
      <c r="J873" s="42"/>
      <c r="K873" s="42"/>
      <c r="L873" s="42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11"/>
      <c r="B874" s="11"/>
      <c r="C874" s="11"/>
      <c r="D874" s="11"/>
      <c r="E874" s="11"/>
      <c r="F874" s="11"/>
      <c r="G874" s="42"/>
      <c r="H874" s="42"/>
      <c r="I874" s="42"/>
      <c r="J874" s="42"/>
      <c r="K874" s="42"/>
      <c r="L874" s="42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11"/>
      <c r="B875" s="11"/>
      <c r="C875" s="11"/>
      <c r="D875" s="11"/>
      <c r="E875" s="11"/>
      <c r="F875" s="11"/>
      <c r="G875" s="42"/>
      <c r="H875" s="42"/>
      <c r="I875" s="42"/>
      <c r="J875" s="42"/>
      <c r="K875" s="42"/>
      <c r="L875" s="42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11"/>
      <c r="B876" s="11"/>
      <c r="C876" s="11"/>
      <c r="D876" s="11"/>
      <c r="E876" s="11"/>
      <c r="F876" s="11"/>
      <c r="G876" s="42"/>
      <c r="H876" s="42"/>
      <c r="I876" s="42"/>
      <c r="J876" s="42"/>
      <c r="K876" s="42"/>
      <c r="L876" s="42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11"/>
      <c r="B877" s="11"/>
      <c r="C877" s="11"/>
      <c r="D877" s="11"/>
      <c r="E877" s="11"/>
      <c r="F877" s="11"/>
      <c r="G877" s="42"/>
      <c r="H877" s="42"/>
      <c r="I877" s="42"/>
      <c r="J877" s="42"/>
      <c r="K877" s="42"/>
      <c r="L877" s="42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11"/>
      <c r="B878" s="11"/>
      <c r="C878" s="11"/>
      <c r="D878" s="11"/>
      <c r="E878" s="11"/>
      <c r="F878" s="11"/>
      <c r="G878" s="42"/>
      <c r="H878" s="42"/>
      <c r="I878" s="42"/>
      <c r="J878" s="42"/>
      <c r="K878" s="42"/>
      <c r="L878" s="42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11"/>
      <c r="B879" s="11"/>
      <c r="C879" s="11"/>
      <c r="D879" s="11"/>
      <c r="E879" s="11"/>
      <c r="F879" s="11"/>
      <c r="G879" s="42"/>
      <c r="H879" s="42"/>
      <c r="I879" s="42"/>
      <c r="J879" s="42"/>
      <c r="K879" s="42"/>
      <c r="L879" s="42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11"/>
      <c r="B880" s="11"/>
      <c r="C880" s="11"/>
      <c r="D880" s="11"/>
      <c r="E880" s="11"/>
      <c r="F880" s="11"/>
      <c r="G880" s="42"/>
      <c r="H880" s="42"/>
      <c r="I880" s="42"/>
      <c r="J880" s="42"/>
      <c r="K880" s="42"/>
      <c r="L880" s="42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11"/>
      <c r="B881" s="11"/>
      <c r="C881" s="11"/>
      <c r="D881" s="11"/>
      <c r="E881" s="11"/>
      <c r="F881" s="11"/>
      <c r="G881" s="42"/>
      <c r="H881" s="42"/>
      <c r="I881" s="42"/>
      <c r="J881" s="42"/>
      <c r="K881" s="42"/>
      <c r="L881" s="42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11"/>
      <c r="B882" s="11"/>
      <c r="C882" s="11"/>
      <c r="D882" s="11"/>
      <c r="E882" s="11"/>
      <c r="F882" s="11"/>
      <c r="G882" s="42"/>
      <c r="H882" s="42"/>
      <c r="I882" s="42"/>
      <c r="J882" s="42"/>
      <c r="K882" s="42"/>
      <c r="L882" s="42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11"/>
      <c r="B883" s="11"/>
      <c r="C883" s="11"/>
      <c r="D883" s="11"/>
      <c r="E883" s="11"/>
      <c r="F883" s="11"/>
      <c r="G883" s="42"/>
      <c r="H883" s="42"/>
      <c r="I883" s="42"/>
      <c r="J883" s="42"/>
      <c r="K883" s="42"/>
      <c r="L883" s="42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11"/>
      <c r="B884" s="11"/>
      <c r="C884" s="11"/>
      <c r="D884" s="11"/>
      <c r="E884" s="11"/>
      <c r="F884" s="11"/>
      <c r="G884" s="42"/>
      <c r="H884" s="42"/>
      <c r="I884" s="42"/>
      <c r="J884" s="42"/>
      <c r="K884" s="42"/>
      <c r="L884" s="42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11"/>
      <c r="B885" s="11"/>
      <c r="C885" s="11"/>
      <c r="D885" s="11"/>
      <c r="E885" s="11"/>
      <c r="F885" s="11"/>
      <c r="G885" s="42"/>
      <c r="H885" s="42"/>
      <c r="I885" s="42"/>
      <c r="J885" s="42"/>
      <c r="K885" s="42"/>
      <c r="L885" s="42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11"/>
      <c r="B886" s="11"/>
      <c r="C886" s="11"/>
      <c r="D886" s="11"/>
      <c r="E886" s="11"/>
      <c r="F886" s="11"/>
      <c r="G886" s="42"/>
      <c r="H886" s="42"/>
      <c r="I886" s="42"/>
      <c r="J886" s="42"/>
      <c r="K886" s="42"/>
      <c r="L886" s="42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11"/>
      <c r="B887" s="11"/>
      <c r="C887" s="11"/>
      <c r="D887" s="11"/>
      <c r="E887" s="11"/>
      <c r="F887" s="11"/>
      <c r="G887" s="42"/>
      <c r="H887" s="42"/>
      <c r="I887" s="42"/>
      <c r="J887" s="42"/>
      <c r="K887" s="42"/>
      <c r="L887" s="42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11"/>
      <c r="B888" s="11"/>
      <c r="C888" s="11"/>
      <c r="D888" s="11"/>
      <c r="E888" s="11"/>
      <c r="F888" s="11"/>
      <c r="G888" s="42"/>
      <c r="H888" s="42"/>
      <c r="I888" s="42"/>
      <c r="J888" s="42"/>
      <c r="K888" s="42"/>
      <c r="L888" s="42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11"/>
      <c r="B889" s="11"/>
      <c r="C889" s="11"/>
      <c r="D889" s="11"/>
      <c r="E889" s="11"/>
      <c r="F889" s="11"/>
      <c r="G889" s="42"/>
      <c r="H889" s="42"/>
      <c r="I889" s="42"/>
      <c r="J889" s="42"/>
      <c r="K889" s="42"/>
      <c r="L889" s="42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11"/>
      <c r="B890" s="11"/>
      <c r="C890" s="11"/>
      <c r="D890" s="11"/>
      <c r="E890" s="11"/>
      <c r="F890" s="11"/>
      <c r="G890" s="42"/>
      <c r="H890" s="42"/>
      <c r="I890" s="42"/>
      <c r="J890" s="42"/>
      <c r="K890" s="42"/>
      <c r="L890" s="42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11"/>
      <c r="B891" s="11"/>
      <c r="C891" s="11"/>
      <c r="D891" s="11"/>
      <c r="E891" s="11"/>
      <c r="F891" s="11"/>
      <c r="G891" s="42"/>
      <c r="H891" s="42"/>
      <c r="I891" s="42"/>
      <c r="J891" s="42"/>
      <c r="K891" s="42"/>
      <c r="L891" s="42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11"/>
      <c r="B892" s="11"/>
      <c r="C892" s="11"/>
      <c r="D892" s="11"/>
      <c r="E892" s="11"/>
      <c r="F892" s="11"/>
      <c r="G892" s="42"/>
      <c r="H892" s="42"/>
      <c r="I892" s="42"/>
      <c r="J892" s="42"/>
      <c r="K892" s="42"/>
      <c r="L892" s="42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11"/>
      <c r="B893" s="11"/>
      <c r="C893" s="11"/>
      <c r="D893" s="11"/>
      <c r="E893" s="11"/>
      <c r="F893" s="11"/>
      <c r="G893" s="42"/>
      <c r="H893" s="42"/>
      <c r="I893" s="42"/>
      <c r="J893" s="42"/>
      <c r="K893" s="42"/>
      <c r="L893" s="42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11"/>
      <c r="B894" s="11"/>
      <c r="C894" s="11"/>
      <c r="D894" s="11"/>
      <c r="E894" s="11"/>
      <c r="F894" s="11"/>
      <c r="G894" s="42"/>
      <c r="H894" s="42"/>
      <c r="I894" s="42"/>
      <c r="J894" s="42"/>
      <c r="K894" s="42"/>
      <c r="L894" s="42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11"/>
      <c r="B895" s="11"/>
      <c r="C895" s="11"/>
      <c r="D895" s="11"/>
      <c r="E895" s="11"/>
      <c r="F895" s="11"/>
      <c r="G895" s="42"/>
      <c r="H895" s="42"/>
      <c r="I895" s="42"/>
      <c r="J895" s="42"/>
      <c r="K895" s="42"/>
      <c r="L895" s="42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11"/>
      <c r="B896" s="11"/>
      <c r="C896" s="11"/>
      <c r="D896" s="11"/>
      <c r="E896" s="11"/>
      <c r="F896" s="11"/>
      <c r="G896" s="42"/>
      <c r="H896" s="42"/>
      <c r="I896" s="42"/>
      <c r="J896" s="42"/>
      <c r="K896" s="42"/>
      <c r="L896" s="42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11"/>
      <c r="B897" s="11"/>
      <c r="C897" s="11"/>
      <c r="D897" s="11"/>
      <c r="E897" s="11"/>
      <c r="F897" s="11"/>
      <c r="G897" s="42"/>
      <c r="H897" s="42"/>
      <c r="I897" s="42"/>
      <c r="J897" s="42"/>
      <c r="K897" s="42"/>
      <c r="L897" s="42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11"/>
      <c r="B898" s="11"/>
      <c r="C898" s="11"/>
      <c r="D898" s="11"/>
      <c r="E898" s="11"/>
      <c r="F898" s="11"/>
      <c r="G898" s="42"/>
      <c r="H898" s="42"/>
      <c r="I898" s="42"/>
      <c r="J898" s="42"/>
      <c r="K898" s="42"/>
      <c r="L898" s="42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11"/>
      <c r="B899" s="11"/>
      <c r="C899" s="11"/>
      <c r="D899" s="11"/>
      <c r="E899" s="11"/>
      <c r="F899" s="11"/>
      <c r="G899" s="42"/>
      <c r="H899" s="42"/>
      <c r="I899" s="42"/>
      <c r="J899" s="42"/>
      <c r="K899" s="42"/>
      <c r="L899" s="42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11"/>
      <c r="B900" s="11"/>
      <c r="C900" s="11"/>
      <c r="D900" s="11"/>
      <c r="E900" s="11"/>
      <c r="F900" s="11"/>
      <c r="G900" s="42"/>
      <c r="H900" s="42"/>
      <c r="I900" s="42"/>
      <c r="J900" s="42"/>
      <c r="K900" s="42"/>
      <c r="L900" s="42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11"/>
      <c r="B901" s="11"/>
      <c r="C901" s="11"/>
      <c r="D901" s="11"/>
      <c r="E901" s="11"/>
      <c r="F901" s="11"/>
      <c r="G901" s="42"/>
      <c r="H901" s="42"/>
      <c r="I901" s="42"/>
      <c r="J901" s="42"/>
      <c r="K901" s="42"/>
      <c r="L901" s="42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11"/>
      <c r="B902" s="11"/>
      <c r="C902" s="11"/>
      <c r="D902" s="11"/>
      <c r="E902" s="11"/>
      <c r="F902" s="11"/>
      <c r="G902" s="42"/>
      <c r="H902" s="42"/>
      <c r="I902" s="42"/>
      <c r="J902" s="42"/>
      <c r="K902" s="42"/>
      <c r="L902" s="42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11"/>
      <c r="B903" s="11"/>
      <c r="C903" s="11"/>
      <c r="D903" s="11"/>
      <c r="E903" s="11"/>
      <c r="F903" s="11"/>
      <c r="G903" s="42"/>
      <c r="H903" s="42"/>
      <c r="I903" s="42"/>
      <c r="J903" s="42"/>
      <c r="K903" s="42"/>
      <c r="L903" s="42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11"/>
      <c r="B904" s="11"/>
      <c r="C904" s="11"/>
      <c r="D904" s="11"/>
      <c r="E904" s="11"/>
      <c r="F904" s="11"/>
      <c r="G904" s="42"/>
      <c r="H904" s="42"/>
      <c r="I904" s="42"/>
      <c r="J904" s="42"/>
      <c r="K904" s="42"/>
      <c r="L904" s="42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11"/>
      <c r="B905" s="11"/>
      <c r="C905" s="11"/>
      <c r="D905" s="11"/>
      <c r="E905" s="11"/>
      <c r="F905" s="11"/>
      <c r="G905" s="42"/>
      <c r="H905" s="42"/>
      <c r="I905" s="42"/>
      <c r="J905" s="42"/>
      <c r="K905" s="42"/>
      <c r="L905" s="42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11"/>
      <c r="B906" s="11"/>
      <c r="C906" s="11"/>
      <c r="D906" s="11"/>
      <c r="E906" s="11"/>
      <c r="F906" s="11"/>
      <c r="G906" s="42"/>
      <c r="H906" s="42"/>
      <c r="I906" s="42"/>
      <c r="J906" s="42"/>
      <c r="K906" s="42"/>
      <c r="L906" s="42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11"/>
      <c r="B907" s="11"/>
      <c r="C907" s="11"/>
      <c r="D907" s="11"/>
      <c r="E907" s="11"/>
      <c r="F907" s="11"/>
      <c r="G907" s="42"/>
      <c r="H907" s="42"/>
      <c r="I907" s="42"/>
      <c r="J907" s="42"/>
      <c r="K907" s="42"/>
      <c r="L907" s="42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11"/>
      <c r="B908" s="11"/>
      <c r="C908" s="11"/>
      <c r="D908" s="11"/>
      <c r="E908" s="11"/>
      <c r="F908" s="11"/>
      <c r="G908" s="42"/>
      <c r="H908" s="42"/>
      <c r="I908" s="42"/>
      <c r="J908" s="42"/>
      <c r="K908" s="42"/>
      <c r="L908" s="42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11"/>
      <c r="B909" s="11"/>
      <c r="C909" s="11"/>
      <c r="D909" s="11"/>
      <c r="E909" s="11"/>
      <c r="F909" s="11"/>
      <c r="G909" s="42"/>
      <c r="H909" s="42"/>
      <c r="I909" s="42"/>
      <c r="J909" s="42"/>
      <c r="K909" s="42"/>
      <c r="L909" s="42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11"/>
      <c r="B910" s="11"/>
      <c r="C910" s="11"/>
      <c r="D910" s="11"/>
      <c r="E910" s="11"/>
      <c r="F910" s="11"/>
      <c r="G910" s="42"/>
      <c r="H910" s="42"/>
      <c r="I910" s="42"/>
      <c r="J910" s="42"/>
      <c r="K910" s="42"/>
      <c r="L910" s="42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11"/>
      <c r="B911" s="11"/>
      <c r="C911" s="11"/>
      <c r="D911" s="11"/>
      <c r="E911" s="11"/>
      <c r="F911" s="11"/>
      <c r="G911" s="42"/>
      <c r="H911" s="42"/>
      <c r="I911" s="42"/>
      <c r="J911" s="42"/>
      <c r="K911" s="42"/>
      <c r="L911" s="42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11"/>
      <c r="B912" s="11"/>
      <c r="C912" s="11"/>
      <c r="D912" s="11"/>
      <c r="E912" s="11"/>
      <c r="F912" s="11"/>
      <c r="G912" s="42"/>
      <c r="H912" s="42"/>
      <c r="I912" s="42"/>
      <c r="J912" s="42"/>
      <c r="K912" s="42"/>
      <c r="L912" s="42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11"/>
      <c r="B913" s="11"/>
      <c r="C913" s="11"/>
      <c r="D913" s="11"/>
      <c r="E913" s="11"/>
      <c r="F913" s="11"/>
      <c r="G913" s="42"/>
      <c r="H913" s="42"/>
      <c r="I913" s="42"/>
      <c r="J913" s="42"/>
      <c r="K913" s="42"/>
      <c r="L913" s="42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11"/>
      <c r="B914" s="11"/>
      <c r="C914" s="11"/>
      <c r="D914" s="11"/>
      <c r="E914" s="11"/>
      <c r="F914" s="11"/>
      <c r="G914" s="42"/>
      <c r="H914" s="42"/>
      <c r="I914" s="42"/>
      <c r="J914" s="42"/>
      <c r="K914" s="42"/>
      <c r="L914" s="42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11"/>
      <c r="B915" s="11"/>
      <c r="C915" s="11"/>
      <c r="D915" s="11"/>
      <c r="E915" s="11"/>
      <c r="F915" s="11"/>
      <c r="G915" s="42"/>
      <c r="H915" s="42"/>
      <c r="I915" s="42"/>
      <c r="J915" s="42"/>
      <c r="K915" s="42"/>
      <c r="L915" s="42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11"/>
      <c r="B916" s="11"/>
      <c r="C916" s="11"/>
      <c r="D916" s="11"/>
      <c r="E916" s="11"/>
      <c r="F916" s="11"/>
      <c r="G916" s="42"/>
      <c r="H916" s="42"/>
      <c r="I916" s="42"/>
      <c r="J916" s="42"/>
      <c r="K916" s="42"/>
      <c r="L916" s="42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11"/>
      <c r="B917" s="11"/>
      <c r="C917" s="11"/>
      <c r="D917" s="11"/>
      <c r="E917" s="11"/>
      <c r="F917" s="11"/>
      <c r="G917" s="42"/>
      <c r="H917" s="42"/>
      <c r="I917" s="42"/>
      <c r="J917" s="42"/>
      <c r="K917" s="42"/>
      <c r="L917" s="42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11"/>
      <c r="B918" s="11"/>
      <c r="C918" s="11"/>
      <c r="D918" s="11"/>
      <c r="E918" s="11"/>
      <c r="F918" s="11"/>
      <c r="G918" s="42"/>
      <c r="H918" s="42"/>
      <c r="I918" s="42"/>
      <c r="J918" s="42"/>
      <c r="K918" s="42"/>
      <c r="L918" s="42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11"/>
      <c r="B919" s="11"/>
      <c r="C919" s="11"/>
      <c r="D919" s="11"/>
      <c r="E919" s="11"/>
      <c r="F919" s="11"/>
      <c r="G919" s="42"/>
      <c r="H919" s="42"/>
      <c r="I919" s="42"/>
      <c r="J919" s="42"/>
      <c r="K919" s="42"/>
      <c r="L919" s="42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11"/>
      <c r="B920" s="11"/>
      <c r="C920" s="11"/>
      <c r="D920" s="11"/>
      <c r="E920" s="11"/>
      <c r="F920" s="11"/>
      <c r="G920" s="42"/>
      <c r="H920" s="42"/>
      <c r="I920" s="42"/>
      <c r="J920" s="42"/>
      <c r="K920" s="42"/>
      <c r="L920" s="42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11"/>
      <c r="B921" s="11"/>
      <c r="C921" s="11"/>
      <c r="D921" s="11"/>
      <c r="E921" s="11"/>
      <c r="F921" s="11"/>
      <c r="G921" s="42"/>
      <c r="H921" s="42"/>
      <c r="I921" s="42"/>
      <c r="J921" s="42"/>
      <c r="K921" s="42"/>
      <c r="L921" s="42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11"/>
      <c r="B922" s="11"/>
      <c r="C922" s="11"/>
      <c r="D922" s="11"/>
      <c r="E922" s="11"/>
      <c r="F922" s="11"/>
      <c r="G922" s="42"/>
      <c r="H922" s="42"/>
      <c r="I922" s="42"/>
      <c r="J922" s="42"/>
      <c r="K922" s="42"/>
      <c r="L922" s="42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11"/>
      <c r="B923" s="11"/>
      <c r="C923" s="11"/>
      <c r="D923" s="11"/>
      <c r="E923" s="11"/>
      <c r="F923" s="11"/>
      <c r="G923" s="42"/>
      <c r="H923" s="42"/>
      <c r="I923" s="42"/>
      <c r="J923" s="42"/>
      <c r="K923" s="42"/>
      <c r="L923" s="42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11"/>
      <c r="B924" s="11"/>
      <c r="C924" s="11"/>
      <c r="D924" s="11"/>
      <c r="E924" s="11"/>
      <c r="F924" s="11"/>
      <c r="G924" s="42"/>
      <c r="H924" s="42"/>
      <c r="I924" s="42"/>
      <c r="J924" s="42"/>
      <c r="K924" s="42"/>
      <c r="L924" s="42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11"/>
      <c r="B925" s="11"/>
      <c r="C925" s="11"/>
      <c r="D925" s="11"/>
      <c r="E925" s="11"/>
      <c r="F925" s="11"/>
      <c r="G925" s="42"/>
      <c r="H925" s="42"/>
      <c r="I925" s="42"/>
      <c r="J925" s="42"/>
      <c r="K925" s="42"/>
      <c r="L925" s="42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11"/>
      <c r="B926" s="11"/>
      <c r="C926" s="11"/>
      <c r="D926" s="11"/>
      <c r="E926" s="11"/>
      <c r="F926" s="11"/>
      <c r="G926" s="42"/>
      <c r="H926" s="42"/>
      <c r="I926" s="42"/>
      <c r="J926" s="42"/>
      <c r="K926" s="42"/>
      <c r="L926" s="42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11"/>
      <c r="B927" s="11"/>
      <c r="C927" s="11"/>
      <c r="D927" s="11"/>
      <c r="E927" s="11"/>
      <c r="F927" s="11"/>
      <c r="G927" s="42"/>
      <c r="H927" s="42"/>
      <c r="I927" s="42"/>
      <c r="J927" s="42"/>
      <c r="K927" s="42"/>
      <c r="L927" s="42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11"/>
      <c r="B928" s="11"/>
      <c r="C928" s="11"/>
      <c r="D928" s="11"/>
      <c r="E928" s="11"/>
      <c r="F928" s="11"/>
      <c r="G928" s="42"/>
      <c r="H928" s="42"/>
      <c r="I928" s="42"/>
      <c r="J928" s="42"/>
      <c r="K928" s="42"/>
      <c r="L928" s="42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11"/>
      <c r="B929" s="11"/>
      <c r="C929" s="11"/>
      <c r="D929" s="11"/>
      <c r="E929" s="11"/>
      <c r="F929" s="11"/>
      <c r="G929" s="42"/>
      <c r="H929" s="42"/>
      <c r="I929" s="42"/>
      <c r="J929" s="42"/>
      <c r="K929" s="42"/>
      <c r="L929" s="42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11"/>
      <c r="B930" s="11"/>
      <c r="C930" s="11"/>
      <c r="D930" s="11"/>
      <c r="E930" s="11"/>
      <c r="F930" s="11"/>
      <c r="G930" s="42"/>
      <c r="H930" s="42"/>
      <c r="I930" s="42"/>
      <c r="J930" s="42"/>
      <c r="K930" s="42"/>
      <c r="L930" s="42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11"/>
      <c r="B931" s="11"/>
      <c r="C931" s="11"/>
      <c r="D931" s="11"/>
      <c r="E931" s="11"/>
      <c r="F931" s="11"/>
      <c r="G931" s="42"/>
      <c r="H931" s="42"/>
      <c r="I931" s="42"/>
      <c r="J931" s="42"/>
      <c r="K931" s="42"/>
      <c r="L931" s="42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11"/>
      <c r="B932" s="11"/>
      <c r="C932" s="11"/>
      <c r="D932" s="11"/>
      <c r="E932" s="11"/>
      <c r="F932" s="11"/>
      <c r="G932" s="42"/>
      <c r="H932" s="42"/>
      <c r="I932" s="42"/>
      <c r="J932" s="42"/>
      <c r="K932" s="42"/>
      <c r="L932" s="42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11"/>
      <c r="B933" s="11"/>
      <c r="C933" s="11"/>
      <c r="D933" s="11"/>
      <c r="E933" s="11"/>
      <c r="F933" s="11"/>
      <c r="G933" s="42"/>
      <c r="H933" s="42"/>
      <c r="I933" s="42"/>
      <c r="J933" s="42"/>
      <c r="K933" s="42"/>
      <c r="L933" s="42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11"/>
      <c r="B934" s="11"/>
      <c r="C934" s="11"/>
      <c r="D934" s="11"/>
      <c r="E934" s="11"/>
      <c r="F934" s="11"/>
      <c r="G934" s="42"/>
      <c r="H934" s="42"/>
      <c r="I934" s="42"/>
      <c r="J934" s="42"/>
      <c r="K934" s="42"/>
      <c r="L934" s="42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11"/>
      <c r="B935" s="11"/>
      <c r="C935" s="11"/>
      <c r="D935" s="11"/>
      <c r="E935" s="11"/>
      <c r="F935" s="11"/>
      <c r="G935" s="42"/>
      <c r="H935" s="42"/>
      <c r="I935" s="42"/>
      <c r="J935" s="42"/>
      <c r="K935" s="42"/>
      <c r="L935" s="42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11"/>
      <c r="B936" s="11"/>
      <c r="C936" s="11"/>
      <c r="D936" s="11"/>
      <c r="E936" s="11"/>
      <c r="F936" s="11"/>
      <c r="G936" s="42"/>
      <c r="H936" s="42"/>
      <c r="I936" s="42"/>
      <c r="J936" s="42"/>
      <c r="K936" s="42"/>
      <c r="L936" s="42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11"/>
      <c r="B937" s="11"/>
      <c r="C937" s="11"/>
      <c r="D937" s="11"/>
      <c r="E937" s="11"/>
      <c r="F937" s="11"/>
      <c r="G937" s="42"/>
      <c r="H937" s="42"/>
      <c r="I937" s="42"/>
      <c r="J937" s="42"/>
      <c r="K937" s="42"/>
      <c r="L937" s="42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11"/>
      <c r="B938" s="11"/>
      <c r="C938" s="11"/>
      <c r="D938" s="11"/>
      <c r="E938" s="11"/>
      <c r="F938" s="11"/>
      <c r="G938" s="42"/>
      <c r="H938" s="42"/>
      <c r="I938" s="42"/>
      <c r="J938" s="42"/>
      <c r="K938" s="42"/>
      <c r="L938" s="42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11"/>
      <c r="B939" s="11"/>
      <c r="C939" s="11"/>
      <c r="D939" s="11"/>
      <c r="E939" s="11"/>
      <c r="F939" s="11"/>
      <c r="G939" s="42"/>
      <c r="H939" s="42"/>
      <c r="I939" s="42"/>
      <c r="J939" s="42"/>
      <c r="K939" s="42"/>
      <c r="L939" s="42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11"/>
      <c r="B940" s="11"/>
      <c r="C940" s="11"/>
      <c r="D940" s="11"/>
      <c r="E940" s="11"/>
      <c r="F940" s="11"/>
      <c r="G940" s="42"/>
      <c r="H940" s="42"/>
      <c r="I940" s="42"/>
      <c r="J940" s="42"/>
      <c r="K940" s="42"/>
      <c r="L940" s="42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11"/>
      <c r="B941" s="11"/>
      <c r="C941" s="11"/>
      <c r="D941" s="11"/>
      <c r="E941" s="11"/>
      <c r="F941" s="11"/>
      <c r="G941" s="42"/>
      <c r="H941" s="42"/>
      <c r="I941" s="42"/>
      <c r="J941" s="42"/>
      <c r="K941" s="42"/>
      <c r="L941" s="42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11"/>
      <c r="B942" s="11"/>
      <c r="C942" s="11"/>
      <c r="D942" s="11"/>
      <c r="E942" s="11"/>
      <c r="F942" s="11"/>
      <c r="G942" s="42"/>
      <c r="H942" s="42"/>
      <c r="I942" s="42"/>
      <c r="J942" s="42"/>
      <c r="K942" s="42"/>
      <c r="L942" s="42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11"/>
      <c r="B943" s="11"/>
      <c r="C943" s="11"/>
      <c r="D943" s="11"/>
      <c r="E943" s="11"/>
      <c r="F943" s="11"/>
      <c r="G943" s="42"/>
      <c r="H943" s="42"/>
      <c r="I943" s="42"/>
      <c r="J943" s="42"/>
      <c r="K943" s="42"/>
      <c r="L943" s="42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11"/>
      <c r="B944" s="11"/>
      <c r="C944" s="11"/>
      <c r="D944" s="11"/>
      <c r="E944" s="11"/>
      <c r="F944" s="11"/>
      <c r="G944" s="42"/>
      <c r="H944" s="42"/>
      <c r="I944" s="42"/>
      <c r="J944" s="42"/>
      <c r="K944" s="42"/>
      <c r="L944" s="42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11"/>
      <c r="B945" s="11"/>
      <c r="C945" s="11"/>
      <c r="D945" s="11"/>
      <c r="E945" s="11"/>
      <c r="F945" s="11"/>
      <c r="G945" s="42"/>
      <c r="H945" s="42"/>
      <c r="I945" s="42"/>
      <c r="J945" s="42"/>
      <c r="K945" s="42"/>
      <c r="L945" s="42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11"/>
      <c r="B946" s="11"/>
      <c r="C946" s="11"/>
      <c r="D946" s="11"/>
      <c r="E946" s="11"/>
      <c r="F946" s="11"/>
      <c r="G946" s="42"/>
      <c r="H946" s="42"/>
      <c r="I946" s="42"/>
      <c r="J946" s="42"/>
      <c r="K946" s="42"/>
      <c r="L946" s="42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11"/>
      <c r="B947" s="11"/>
      <c r="C947" s="11"/>
      <c r="D947" s="11"/>
      <c r="E947" s="11"/>
      <c r="F947" s="11"/>
      <c r="G947" s="42"/>
      <c r="H947" s="42"/>
      <c r="I947" s="42"/>
      <c r="J947" s="42"/>
      <c r="K947" s="42"/>
      <c r="L947" s="42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11"/>
      <c r="B948" s="11"/>
      <c r="C948" s="11"/>
      <c r="D948" s="11"/>
      <c r="E948" s="11"/>
      <c r="F948" s="11"/>
      <c r="G948" s="42"/>
      <c r="H948" s="42"/>
      <c r="I948" s="42"/>
      <c r="J948" s="42"/>
      <c r="K948" s="42"/>
      <c r="L948" s="42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11"/>
      <c r="B949" s="11"/>
      <c r="C949" s="11"/>
      <c r="D949" s="11"/>
      <c r="E949" s="11"/>
      <c r="F949" s="11"/>
      <c r="G949" s="42"/>
      <c r="H949" s="42"/>
      <c r="I949" s="42"/>
      <c r="J949" s="42"/>
      <c r="K949" s="42"/>
      <c r="L949" s="42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11"/>
      <c r="B950" s="11"/>
      <c r="C950" s="11"/>
      <c r="D950" s="11"/>
      <c r="E950" s="11"/>
      <c r="F950" s="11"/>
      <c r="G950" s="42"/>
      <c r="H950" s="42"/>
      <c r="I950" s="42"/>
      <c r="J950" s="42"/>
      <c r="K950" s="42"/>
      <c r="L950" s="42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11"/>
      <c r="B951" s="11"/>
      <c r="C951" s="11"/>
      <c r="D951" s="11"/>
      <c r="E951" s="11"/>
      <c r="F951" s="11"/>
      <c r="G951" s="42"/>
      <c r="H951" s="42"/>
      <c r="I951" s="42"/>
      <c r="J951" s="42"/>
      <c r="K951" s="42"/>
      <c r="L951" s="42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11"/>
      <c r="B952" s="11"/>
      <c r="C952" s="11"/>
      <c r="D952" s="11"/>
      <c r="E952" s="11"/>
      <c r="F952" s="11"/>
      <c r="G952" s="42"/>
      <c r="H952" s="42"/>
      <c r="I952" s="42"/>
      <c r="J952" s="42"/>
      <c r="K952" s="42"/>
      <c r="L952" s="42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11"/>
      <c r="B953" s="11"/>
      <c r="C953" s="11"/>
      <c r="D953" s="11"/>
      <c r="E953" s="11"/>
      <c r="F953" s="11"/>
      <c r="G953" s="42"/>
      <c r="H953" s="42"/>
      <c r="I953" s="42"/>
      <c r="J953" s="42"/>
      <c r="K953" s="42"/>
      <c r="L953" s="42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11"/>
      <c r="B954" s="11"/>
      <c r="C954" s="11"/>
      <c r="D954" s="11"/>
      <c r="E954" s="11"/>
      <c r="F954" s="11"/>
      <c r="G954" s="42"/>
      <c r="H954" s="42"/>
      <c r="I954" s="42"/>
      <c r="J954" s="42"/>
      <c r="K954" s="42"/>
      <c r="L954" s="42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11"/>
      <c r="B955" s="11"/>
      <c r="C955" s="11"/>
      <c r="D955" s="11"/>
      <c r="E955" s="11"/>
      <c r="F955" s="11"/>
      <c r="G955" s="42"/>
      <c r="H955" s="42"/>
      <c r="I955" s="42"/>
      <c r="J955" s="42"/>
      <c r="K955" s="42"/>
      <c r="L955" s="42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11"/>
      <c r="B956" s="11"/>
      <c r="C956" s="11"/>
      <c r="D956" s="11"/>
      <c r="E956" s="11"/>
      <c r="F956" s="11"/>
      <c r="G956" s="42"/>
      <c r="H956" s="42"/>
      <c r="I956" s="42"/>
      <c r="J956" s="42"/>
      <c r="K956" s="42"/>
      <c r="L956" s="42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11"/>
      <c r="B957" s="11"/>
      <c r="C957" s="11"/>
      <c r="D957" s="11"/>
      <c r="E957" s="11"/>
      <c r="F957" s="11"/>
      <c r="G957" s="42"/>
      <c r="H957" s="42"/>
      <c r="I957" s="42"/>
      <c r="J957" s="42"/>
      <c r="K957" s="42"/>
      <c r="L957" s="42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11"/>
      <c r="B958" s="11"/>
      <c r="C958" s="11"/>
      <c r="D958" s="11"/>
      <c r="E958" s="11"/>
      <c r="F958" s="11"/>
      <c r="G958" s="42"/>
      <c r="H958" s="42"/>
      <c r="I958" s="42"/>
      <c r="J958" s="42"/>
      <c r="K958" s="42"/>
      <c r="L958" s="42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11"/>
      <c r="B959" s="11"/>
      <c r="C959" s="11"/>
      <c r="D959" s="11"/>
      <c r="E959" s="11"/>
      <c r="F959" s="11"/>
      <c r="G959" s="42"/>
      <c r="H959" s="42"/>
      <c r="I959" s="42"/>
      <c r="J959" s="42"/>
      <c r="K959" s="42"/>
      <c r="L959" s="42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11"/>
      <c r="B960" s="11"/>
      <c r="C960" s="11"/>
      <c r="D960" s="11"/>
      <c r="E960" s="11"/>
      <c r="F960" s="11"/>
      <c r="G960" s="42"/>
      <c r="H960" s="42"/>
      <c r="I960" s="42"/>
      <c r="J960" s="42"/>
      <c r="K960" s="42"/>
      <c r="L960" s="42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11"/>
      <c r="B961" s="11"/>
      <c r="C961" s="11"/>
      <c r="D961" s="11"/>
      <c r="E961" s="11"/>
      <c r="F961" s="11"/>
      <c r="G961" s="42"/>
      <c r="H961" s="42"/>
      <c r="I961" s="42"/>
      <c r="J961" s="42"/>
      <c r="K961" s="42"/>
      <c r="L961" s="42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11"/>
      <c r="B962" s="11"/>
      <c r="C962" s="11"/>
      <c r="D962" s="11"/>
      <c r="E962" s="11"/>
      <c r="F962" s="11"/>
      <c r="G962" s="42"/>
      <c r="H962" s="42"/>
      <c r="I962" s="42"/>
      <c r="J962" s="42"/>
      <c r="K962" s="42"/>
      <c r="L962" s="42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11"/>
      <c r="B963" s="11"/>
      <c r="C963" s="11"/>
      <c r="D963" s="11"/>
      <c r="E963" s="11"/>
      <c r="F963" s="11"/>
      <c r="G963" s="42"/>
      <c r="H963" s="42"/>
      <c r="I963" s="42"/>
      <c r="J963" s="42"/>
      <c r="K963" s="42"/>
      <c r="L963" s="42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11"/>
      <c r="B964" s="11"/>
      <c r="C964" s="11"/>
      <c r="D964" s="11"/>
      <c r="E964" s="11"/>
      <c r="F964" s="11"/>
      <c r="G964" s="42"/>
      <c r="H964" s="42"/>
      <c r="I964" s="42"/>
      <c r="J964" s="42"/>
      <c r="K964" s="42"/>
      <c r="L964" s="42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11"/>
      <c r="B965" s="11"/>
      <c r="C965" s="11"/>
      <c r="D965" s="11"/>
      <c r="E965" s="11"/>
      <c r="F965" s="11"/>
      <c r="G965" s="42"/>
      <c r="H965" s="42"/>
      <c r="I965" s="42"/>
      <c r="J965" s="42"/>
      <c r="K965" s="42"/>
      <c r="L965" s="42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11"/>
      <c r="B966" s="11"/>
      <c r="C966" s="11"/>
      <c r="D966" s="11"/>
      <c r="E966" s="11"/>
      <c r="F966" s="11"/>
      <c r="G966" s="42"/>
      <c r="H966" s="42"/>
      <c r="I966" s="42"/>
      <c r="J966" s="42"/>
      <c r="K966" s="42"/>
      <c r="L966" s="42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11"/>
      <c r="B967" s="11"/>
      <c r="C967" s="11"/>
      <c r="D967" s="11"/>
      <c r="E967" s="11"/>
      <c r="F967" s="11"/>
      <c r="G967" s="42"/>
      <c r="H967" s="42"/>
      <c r="I967" s="42"/>
      <c r="J967" s="42"/>
      <c r="K967" s="42"/>
      <c r="L967" s="42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11"/>
      <c r="B968" s="11"/>
      <c r="C968" s="11"/>
      <c r="D968" s="11"/>
      <c r="E968" s="11"/>
      <c r="F968" s="11"/>
      <c r="G968" s="42"/>
      <c r="H968" s="42"/>
      <c r="I968" s="42"/>
      <c r="J968" s="42"/>
      <c r="K968" s="42"/>
      <c r="L968" s="42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11"/>
      <c r="B969" s="11"/>
      <c r="C969" s="11"/>
      <c r="D969" s="11"/>
      <c r="E969" s="11"/>
      <c r="F969" s="11"/>
      <c r="G969" s="42"/>
      <c r="H969" s="42"/>
      <c r="I969" s="42"/>
      <c r="J969" s="42"/>
      <c r="K969" s="42"/>
      <c r="L969" s="42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11"/>
      <c r="B970" s="11"/>
      <c r="C970" s="11"/>
      <c r="D970" s="11"/>
      <c r="E970" s="11"/>
      <c r="F970" s="11"/>
      <c r="G970" s="42"/>
      <c r="H970" s="42"/>
      <c r="I970" s="42"/>
      <c r="J970" s="42"/>
      <c r="K970" s="42"/>
      <c r="L970" s="42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11"/>
      <c r="B971" s="11"/>
      <c r="C971" s="11"/>
      <c r="D971" s="11"/>
      <c r="E971" s="11"/>
      <c r="F971" s="11"/>
      <c r="G971" s="42"/>
      <c r="H971" s="42"/>
      <c r="I971" s="42"/>
      <c r="J971" s="42"/>
      <c r="K971" s="42"/>
      <c r="L971" s="42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11"/>
      <c r="B972" s="11"/>
      <c r="C972" s="11"/>
      <c r="D972" s="11"/>
      <c r="E972" s="11"/>
      <c r="F972" s="11"/>
      <c r="G972" s="42"/>
      <c r="H972" s="42"/>
      <c r="I972" s="42"/>
      <c r="J972" s="42"/>
      <c r="K972" s="42"/>
      <c r="L972" s="42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11"/>
      <c r="B973" s="11"/>
      <c r="C973" s="11"/>
      <c r="D973" s="11"/>
      <c r="E973" s="11"/>
      <c r="F973" s="11"/>
      <c r="G973" s="42"/>
      <c r="H973" s="42"/>
      <c r="I973" s="42"/>
      <c r="J973" s="42"/>
      <c r="K973" s="42"/>
      <c r="L973" s="42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11"/>
      <c r="B974" s="11"/>
      <c r="C974" s="11"/>
      <c r="D974" s="11"/>
      <c r="E974" s="11"/>
      <c r="F974" s="11"/>
      <c r="G974" s="42"/>
      <c r="H974" s="42"/>
      <c r="I974" s="42"/>
      <c r="J974" s="42"/>
      <c r="K974" s="42"/>
      <c r="L974" s="42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11"/>
      <c r="B975" s="11"/>
      <c r="C975" s="11"/>
      <c r="D975" s="11"/>
      <c r="E975" s="11"/>
      <c r="F975" s="11"/>
      <c r="G975" s="42"/>
      <c r="H975" s="42"/>
      <c r="I975" s="42"/>
      <c r="J975" s="42"/>
      <c r="K975" s="42"/>
      <c r="L975" s="42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11"/>
      <c r="B976" s="11"/>
      <c r="C976" s="11"/>
      <c r="D976" s="11"/>
      <c r="E976" s="11"/>
      <c r="F976" s="11"/>
      <c r="G976" s="42"/>
      <c r="H976" s="42"/>
      <c r="I976" s="42"/>
      <c r="J976" s="42"/>
      <c r="K976" s="42"/>
      <c r="L976" s="42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11"/>
      <c r="B977" s="11"/>
      <c r="C977" s="11"/>
      <c r="D977" s="11"/>
      <c r="E977" s="11"/>
      <c r="F977" s="11"/>
      <c r="G977" s="42"/>
      <c r="H977" s="42"/>
      <c r="I977" s="42"/>
      <c r="J977" s="42"/>
      <c r="K977" s="42"/>
      <c r="L977" s="42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11"/>
      <c r="B978" s="11"/>
      <c r="C978" s="11"/>
      <c r="D978" s="11"/>
      <c r="E978" s="11"/>
      <c r="F978" s="11"/>
      <c r="G978" s="42"/>
      <c r="H978" s="42"/>
      <c r="I978" s="42"/>
      <c r="J978" s="42"/>
      <c r="K978" s="42"/>
      <c r="L978" s="42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11"/>
      <c r="B979" s="11"/>
      <c r="C979" s="11"/>
      <c r="D979" s="11"/>
      <c r="E979" s="11"/>
      <c r="F979" s="11"/>
      <c r="G979" s="42"/>
      <c r="H979" s="42"/>
      <c r="I979" s="42"/>
      <c r="J979" s="42"/>
      <c r="K979" s="42"/>
      <c r="L979" s="42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11"/>
      <c r="B980" s="11"/>
      <c r="C980" s="11"/>
      <c r="D980" s="11"/>
      <c r="E980" s="11"/>
      <c r="F980" s="11"/>
      <c r="G980" s="42"/>
      <c r="H980" s="42"/>
      <c r="I980" s="42"/>
      <c r="J980" s="42"/>
      <c r="K980" s="42"/>
      <c r="L980" s="42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11"/>
      <c r="B981" s="11"/>
      <c r="C981" s="11"/>
      <c r="D981" s="11"/>
      <c r="E981" s="11"/>
      <c r="F981" s="11"/>
      <c r="G981" s="42"/>
      <c r="H981" s="42"/>
      <c r="I981" s="42"/>
      <c r="J981" s="42"/>
      <c r="K981" s="42"/>
      <c r="L981" s="42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11"/>
      <c r="B982" s="11"/>
      <c r="C982" s="11"/>
      <c r="D982" s="11"/>
      <c r="E982" s="11"/>
      <c r="F982" s="11"/>
      <c r="G982" s="42"/>
      <c r="H982" s="42"/>
      <c r="I982" s="42"/>
      <c r="J982" s="42"/>
      <c r="K982" s="42"/>
      <c r="L982" s="42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11"/>
      <c r="B983" s="11"/>
      <c r="C983" s="11"/>
      <c r="D983" s="11"/>
      <c r="E983" s="11"/>
      <c r="F983" s="11"/>
      <c r="G983" s="42"/>
      <c r="H983" s="42"/>
      <c r="I983" s="42"/>
      <c r="J983" s="42"/>
      <c r="K983" s="42"/>
      <c r="L983" s="42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11"/>
      <c r="B984" s="11"/>
      <c r="C984" s="11"/>
      <c r="D984" s="11"/>
      <c r="E984" s="11"/>
      <c r="F984" s="11"/>
      <c r="G984" s="42"/>
      <c r="H984" s="42"/>
      <c r="I984" s="42"/>
      <c r="J984" s="42"/>
      <c r="K984" s="42"/>
      <c r="L984" s="42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11"/>
      <c r="B985" s="11"/>
      <c r="C985" s="11"/>
      <c r="D985" s="11"/>
      <c r="E985" s="11"/>
      <c r="F985" s="11"/>
      <c r="G985" s="42"/>
      <c r="H985" s="42"/>
      <c r="I985" s="42"/>
      <c r="J985" s="42"/>
      <c r="K985" s="42"/>
      <c r="L985" s="42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11"/>
      <c r="B986" s="11"/>
      <c r="C986" s="11"/>
      <c r="D986" s="11"/>
      <c r="E986" s="11"/>
      <c r="F986" s="11"/>
      <c r="G986" s="42"/>
      <c r="H986" s="42"/>
      <c r="I986" s="42"/>
      <c r="J986" s="42"/>
      <c r="K986" s="42"/>
      <c r="L986" s="42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11"/>
      <c r="B987" s="11"/>
      <c r="C987" s="11"/>
      <c r="D987" s="11"/>
      <c r="E987" s="11"/>
      <c r="F987" s="11"/>
      <c r="G987" s="42"/>
      <c r="H987" s="42"/>
      <c r="I987" s="42"/>
      <c r="J987" s="42"/>
      <c r="K987" s="42"/>
      <c r="L987" s="42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11"/>
      <c r="B988" s="11"/>
      <c r="C988" s="11"/>
      <c r="D988" s="11"/>
      <c r="E988" s="11"/>
      <c r="F988" s="11"/>
      <c r="G988" s="42"/>
      <c r="H988" s="42"/>
      <c r="I988" s="42"/>
      <c r="J988" s="42"/>
      <c r="K988" s="42"/>
      <c r="L988" s="42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11"/>
      <c r="B989" s="11"/>
      <c r="C989" s="11"/>
      <c r="D989" s="11"/>
      <c r="E989" s="11"/>
      <c r="F989" s="11"/>
      <c r="G989" s="42"/>
      <c r="H989" s="42"/>
      <c r="I989" s="42"/>
      <c r="J989" s="42"/>
      <c r="K989" s="42"/>
      <c r="L989" s="42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11"/>
      <c r="B990" s="11"/>
      <c r="C990" s="11"/>
      <c r="D990" s="11"/>
      <c r="E990" s="11"/>
      <c r="F990" s="11"/>
      <c r="G990" s="42"/>
      <c r="H990" s="42"/>
      <c r="I990" s="42"/>
      <c r="J990" s="42"/>
      <c r="K990" s="42"/>
      <c r="L990" s="42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11"/>
      <c r="B991" s="11"/>
      <c r="C991" s="11"/>
      <c r="D991" s="11"/>
      <c r="E991" s="11"/>
      <c r="F991" s="11"/>
      <c r="G991" s="42"/>
      <c r="H991" s="42"/>
      <c r="I991" s="42"/>
      <c r="J991" s="42"/>
      <c r="K991" s="42"/>
      <c r="L991" s="42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11"/>
      <c r="B992" s="11"/>
      <c r="C992" s="11"/>
      <c r="D992" s="11"/>
      <c r="E992" s="11"/>
      <c r="F992" s="11"/>
      <c r="G992" s="42"/>
      <c r="H992" s="42"/>
      <c r="I992" s="42"/>
      <c r="J992" s="42"/>
      <c r="K992" s="42"/>
      <c r="L992" s="42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11"/>
      <c r="B993" s="11"/>
      <c r="C993" s="11"/>
      <c r="D993" s="11"/>
      <c r="E993" s="11"/>
      <c r="F993" s="11"/>
      <c r="G993" s="42"/>
      <c r="H993" s="42"/>
      <c r="I993" s="42"/>
      <c r="J993" s="42"/>
      <c r="K993" s="42"/>
      <c r="L993" s="42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11"/>
      <c r="B994" s="11"/>
      <c r="C994" s="11"/>
      <c r="D994" s="11"/>
      <c r="E994" s="11"/>
      <c r="F994" s="11"/>
      <c r="G994" s="42"/>
      <c r="H994" s="42"/>
      <c r="I994" s="42"/>
      <c r="J994" s="42"/>
      <c r="K994" s="42"/>
      <c r="L994" s="42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11"/>
      <c r="B995" s="11"/>
      <c r="C995" s="11"/>
      <c r="D995" s="11"/>
      <c r="E995" s="11"/>
      <c r="F995" s="11"/>
      <c r="G995" s="42"/>
      <c r="H995" s="42"/>
      <c r="I995" s="42"/>
      <c r="J995" s="42"/>
      <c r="K995" s="42"/>
      <c r="L995" s="42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11"/>
      <c r="B996" s="11"/>
      <c r="C996" s="11"/>
      <c r="D996" s="11"/>
      <c r="E996" s="11"/>
      <c r="F996" s="11"/>
      <c r="G996" s="42"/>
      <c r="H996" s="42"/>
      <c r="I996" s="42"/>
      <c r="J996" s="42"/>
      <c r="K996" s="42"/>
      <c r="L996" s="42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11"/>
      <c r="B997" s="11"/>
      <c r="C997" s="11"/>
      <c r="D997" s="11"/>
      <c r="E997" s="11"/>
      <c r="F997" s="11"/>
      <c r="G997" s="42"/>
      <c r="H997" s="42"/>
      <c r="I997" s="42"/>
      <c r="J997" s="42"/>
      <c r="K997" s="42"/>
      <c r="L997" s="42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11"/>
      <c r="B998" s="11"/>
      <c r="C998" s="11"/>
      <c r="D998" s="11"/>
      <c r="E998" s="11"/>
      <c r="F998" s="11"/>
      <c r="G998" s="42"/>
      <c r="H998" s="42"/>
      <c r="I998" s="42"/>
      <c r="J998" s="42"/>
      <c r="K998" s="42"/>
      <c r="L998" s="42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11"/>
      <c r="B999" s="11"/>
      <c r="C999" s="11"/>
      <c r="D999" s="11"/>
      <c r="E999" s="11"/>
      <c r="F999" s="11"/>
      <c r="G999" s="42"/>
      <c r="H999" s="42"/>
      <c r="I999" s="42"/>
      <c r="J999" s="42"/>
      <c r="K999" s="42"/>
      <c r="L999" s="42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11"/>
      <c r="B1000" s="11"/>
      <c r="C1000" s="11"/>
      <c r="D1000" s="11"/>
      <c r="E1000" s="11"/>
      <c r="F1000" s="11"/>
      <c r="G1000" s="42"/>
      <c r="H1000" s="42"/>
      <c r="I1000" s="42"/>
      <c r="J1000" s="42"/>
      <c r="K1000" s="42"/>
      <c r="L1000" s="42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31">
    <mergeCell ref="A79:G79"/>
    <mergeCell ref="A105:G105"/>
    <mergeCell ref="A109:G109"/>
    <mergeCell ref="A113:G113"/>
    <mergeCell ref="A81:G81"/>
    <mergeCell ref="A85:G85"/>
    <mergeCell ref="A89:G89"/>
    <mergeCell ref="A93:G93"/>
    <mergeCell ref="A96:G96"/>
    <mergeCell ref="A99:G99"/>
    <mergeCell ref="A101:G101"/>
    <mergeCell ref="A61:G61"/>
    <mergeCell ref="A65:G65"/>
    <mergeCell ref="A69:G69"/>
    <mergeCell ref="A73:G73"/>
    <mergeCell ref="A75:G75"/>
    <mergeCell ref="A41:G41"/>
    <mergeCell ref="A45:G45"/>
    <mergeCell ref="A49:G49"/>
    <mergeCell ref="A53:G53"/>
    <mergeCell ref="A57:G57"/>
    <mergeCell ref="A21:G21"/>
    <mergeCell ref="A25:G25"/>
    <mergeCell ref="A29:G29"/>
    <mergeCell ref="A33:G33"/>
    <mergeCell ref="A37:G37"/>
    <mergeCell ref="A2:G2"/>
    <mergeCell ref="A6:G6"/>
    <mergeCell ref="A10:G10"/>
    <mergeCell ref="A14:G14"/>
    <mergeCell ref="A17:G17"/>
  </mergeCells>
  <hyperlinks>
    <hyperlink ref="J100" r:id="rId1" xr:uid="{00000000-0004-0000-0100-000000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352"/>
  <sheetViews>
    <sheetView workbookViewId="0"/>
  </sheetViews>
  <sheetFormatPr defaultColWidth="14.44140625" defaultRowHeight="15" customHeight="1"/>
  <cols>
    <col min="1" max="1" width="32.44140625" customWidth="1"/>
    <col min="2" max="2" width="17.33203125" customWidth="1"/>
    <col min="3" max="3" width="33.6640625" customWidth="1"/>
    <col min="4" max="4" width="8.6640625" customWidth="1"/>
    <col min="5" max="5" width="17.44140625" customWidth="1"/>
    <col min="6" max="6" width="39.5546875" customWidth="1"/>
    <col min="7" max="7" width="25.33203125" customWidth="1"/>
    <col min="8" max="8" width="18.109375" customWidth="1"/>
    <col min="9" max="9" width="14" customWidth="1"/>
    <col min="10" max="10" width="54.88671875" customWidth="1"/>
    <col min="11" max="11" width="15.5546875" customWidth="1"/>
  </cols>
  <sheetData>
    <row r="1" spans="1:2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10</v>
      </c>
      <c r="H1" s="2" t="s">
        <v>13</v>
      </c>
      <c r="I1" s="2" t="s">
        <v>16</v>
      </c>
      <c r="J1" s="2" t="s">
        <v>17</v>
      </c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>
      <c r="A2" s="82" t="s">
        <v>24</v>
      </c>
      <c r="B2" s="80"/>
      <c r="C2" s="80"/>
      <c r="D2" s="80"/>
      <c r="E2" s="80"/>
      <c r="F2" s="80"/>
      <c r="G2" s="80"/>
      <c r="H2" s="80"/>
      <c r="I2" s="80"/>
      <c r="J2" s="81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>
      <c r="A3" s="10" t="s">
        <v>65</v>
      </c>
      <c r="B3" s="16">
        <v>40710</v>
      </c>
      <c r="C3" s="10" t="s">
        <v>86</v>
      </c>
      <c r="D3" s="10" t="s">
        <v>89</v>
      </c>
      <c r="E3" s="10" t="s">
        <v>26</v>
      </c>
      <c r="F3" s="10" t="s">
        <v>91</v>
      </c>
      <c r="G3" s="18">
        <f>919425435075</f>
        <v>919425435075</v>
      </c>
      <c r="H3" s="18">
        <f>919131256080</f>
        <v>919131256080</v>
      </c>
      <c r="I3" s="10" t="s">
        <v>131</v>
      </c>
      <c r="J3" s="10" t="s">
        <v>132</v>
      </c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>
      <c r="A4" s="10" t="s">
        <v>142</v>
      </c>
      <c r="B4" s="16">
        <v>41341</v>
      </c>
      <c r="C4" s="10" t="s">
        <v>86</v>
      </c>
      <c r="D4" s="10" t="s">
        <v>89</v>
      </c>
      <c r="E4" s="10" t="s">
        <v>148</v>
      </c>
      <c r="F4" s="10" t="s">
        <v>151</v>
      </c>
      <c r="G4" s="18">
        <f>919049199198</f>
        <v>919049199198</v>
      </c>
      <c r="H4" s="18">
        <f>916289174134</f>
        <v>916289174134</v>
      </c>
      <c r="I4" s="10" t="s">
        <v>170</v>
      </c>
      <c r="J4" s="10" t="s">
        <v>172</v>
      </c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 s="10" t="s">
        <v>177</v>
      </c>
      <c r="B5" s="16">
        <v>28101</v>
      </c>
      <c r="C5" s="10" t="s">
        <v>180</v>
      </c>
      <c r="D5" s="10" t="s">
        <v>89</v>
      </c>
      <c r="E5" s="10" t="s">
        <v>183</v>
      </c>
      <c r="F5" s="10" t="s">
        <v>184</v>
      </c>
      <c r="G5" s="18">
        <f>919486505355</f>
        <v>919486505355</v>
      </c>
      <c r="H5" s="18">
        <f>919486505335</f>
        <v>919486505335</v>
      </c>
      <c r="I5" s="10" t="s">
        <v>196</v>
      </c>
      <c r="J5" s="10" t="s">
        <v>199</v>
      </c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>
      <c r="A6" s="10" t="s">
        <v>204</v>
      </c>
      <c r="B6" s="16">
        <v>32551</v>
      </c>
      <c r="C6" s="10" t="s">
        <v>180</v>
      </c>
      <c r="D6" s="10" t="s">
        <v>89</v>
      </c>
      <c r="E6" s="10" t="s">
        <v>183</v>
      </c>
      <c r="F6" s="10" t="s">
        <v>210</v>
      </c>
      <c r="G6" s="18">
        <f>917819955451</f>
        <v>917819955451</v>
      </c>
      <c r="H6" s="18">
        <f>917760987021</f>
        <v>917760987021</v>
      </c>
      <c r="I6" s="10" t="s">
        <v>196</v>
      </c>
      <c r="J6" s="10" t="s">
        <v>232</v>
      </c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>
      <c r="A7" s="10" t="s">
        <v>238</v>
      </c>
      <c r="B7" s="16">
        <v>34387</v>
      </c>
      <c r="C7" s="10" t="s">
        <v>86</v>
      </c>
      <c r="D7" s="10" t="s">
        <v>89</v>
      </c>
      <c r="E7" s="10" t="s">
        <v>241</v>
      </c>
      <c r="F7" s="10" t="s">
        <v>243</v>
      </c>
      <c r="G7" s="18">
        <f t="shared" ref="G7:H7" si="0">919783592342</f>
        <v>919783592342</v>
      </c>
      <c r="H7" s="18">
        <f t="shared" si="0"/>
        <v>919783592342</v>
      </c>
      <c r="I7" s="10" t="s">
        <v>248</v>
      </c>
      <c r="J7" s="10" t="s">
        <v>250</v>
      </c>
      <c r="K7" s="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10" t="s">
        <v>255</v>
      </c>
      <c r="B8" s="16">
        <v>32259</v>
      </c>
      <c r="C8" s="10" t="s">
        <v>86</v>
      </c>
      <c r="D8" s="10" t="s">
        <v>89</v>
      </c>
      <c r="E8" s="10" t="s">
        <v>258</v>
      </c>
      <c r="F8" s="10" t="s">
        <v>259</v>
      </c>
      <c r="G8" s="18">
        <f>919780517169</f>
        <v>919780517169</v>
      </c>
      <c r="H8" s="18">
        <f>917652947237</f>
        <v>917652947237</v>
      </c>
      <c r="I8" s="10" t="s">
        <v>170</v>
      </c>
      <c r="J8" s="10" t="s">
        <v>270</v>
      </c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10" t="s">
        <v>272</v>
      </c>
      <c r="B9" s="16">
        <v>34901</v>
      </c>
      <c r="C9" s="10" t="s">
        <v>86</v>
      </c>
      <c r="D9" s="10" t="s">
        <v>89</v>
      </c>
      <c r="E9" s="10" t="s">
        <v>275</v>
      </c>
      <c r="F9" s="10" t="s">
        <v>277</v>
      </c>
      <c r="G9" s="18">
        <f>917830109410</f>
        <v>917830109410</v>
      </c>
      <c r="H9" s="18">
        <f>919997721881</f>
        <v>919997721881</v>
      </c>
      <c r="I9" s="10" t="s">
        <v>170</v>
      </c>
      <c r="J9" s="10" t="s">
        <v>288</v>
      </c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10" t="s">
        <v>295</v>
      </c>
      <c r="B10" s="16">
        <v>32736</v>
      </c>
      <c r="C10" s="10" t="s">
        <v>298</v>
      </c>
      <c r="D10" s="10" t="s">
        <v>89</v>
      </c>
      <c r="E10" s="10" t="s">
        <v>36</v>
      </c>
      <c r="F10" s="10" t="s">
        <v>299</v>
      </c>
      <c r="G10" s="18">
        <f>918208785389</f>
        <v>918208785389</v>
      </c>
      <c r="H10" s="18">
        <f>919004110187</f>
        <v>919004110187</v>
      </c>
      <c r="I10" s="10" t="s">
        <v>310</v>
      </c>
      <c r="J10" s="10" t="s">
        <v>312</v>
      </c>
      <c r="K10" s="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10" t="s">
        <v>319</v>
      </c>
      <c r="B11" s="16">
        <v>33155</v>
      </c>
      <c r="C11" s="10" t="s">
        <v>86</v>
      </c>
      <c r="D11" s="10" t="s">
        <v>89</v>
      </c>
      <c r="E11" s="10" t="s">
        <v>257</v>
      </c>
      <c r="F11" s="10" t="s">
        <v>322</v>
      </c>
      <c r="G11" s="18">
        <f>919753773675</f>
        <v>919753773675</v>
      </c>
      <c r="H11" s="18">
        <f>917049145503</f>
        <v>917049145503</v>
      </c>
      <c r="I11" s="10" t="s">
        <v>170</v>
      </c>
      <c r="J11" s="10" t="s">
        <v>333</v>
      </c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10" t="s">
        <v>339</v>
      </c>
      <c r="B12" s="16">
        <v>41302</v>
      </c>
      <c r="C12" s="10" t="s">
        <v>86</v>
      </c>
      <c r="D12" s="10" t="s">
        <v>89</v>
      </c>
      <c r="E12" s="10" t="s">
        <v>241</v>
      </c>
      <c r="F12" s="10" t="s">
        <v>343</v>
      </c>
      <c r="G12" s="18">
        <f>919680779241</f>
        <v>919680779241</v>
      </c>
      <c r="H12" s="18">
        <f>916367955677</f>
        <v>916367955677</v>
      </c>
      <c r="I12" s="10" t="s">
        <v>131</v>
      </c>
      <c r="J12" s="10" t="s">
        <v>354</v>
      </c>
      <c r="K12" s="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10" t="s">
        <v>360</v>
      </c>
      <c r="B13" s="16">
        <v>37284</v>
      </c>
      <c r="C13" s="10" t="s">
        <v>298</v>
      </c>
      <c r="D13" s="10" t="s">
        <v>89</v>
      </c>
      <c r="E13" s="10" t="s">
        <v>301</v>
      </c>
      <c r="F13" s="10" t="s">
        <v>366</v>
      </c>
      <c r="G13" s="18">
        <f>919999405395</f>
        <v>919999405395</v>
      </c>
      <c r="H13" s="18">
        <f>918447294443</f>
        <v>918447294443</v>
      </c>
      <c r="I13" s="10" t="s">
        <v>196</v>
      </c>
      <c r="J13" s="10" t="s">
        <v>354</v>
      </c>
      <c r="K13" s="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10" t="s">
        <v>385</v>
      </c>
      <c r="B14" s="16">
        <v>36270</v>
      </c>
      <c r="C14" s="10" t="s">
        <v>86</v>
      </c>
      <c r="D14" s="10" t="s">
        <v>89</v>
      </c>
      <c r="E14" s="10" t="s">
        <v>72</v>
      </c>
      <c r="F14" s="10" t="s">
        <v>392</v>
      </c>
      <c r="G14" s="18">
        <f>918197136353</f>
        <v>918197136353</v>
      </c>
      <c r="H14" s="18">
        <f>919845341619</f>
        <v>919845341619</v>
      </c>
      <c r="I14" s="10" t="s">
        <v>170</v>
      </c>
      <c r="J14" s="10" t="s">
        <v>409</v>
      </c>
      <c r="K14" s="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10" t="s">
        <v>413</v>
      </c>
      <c r="B15" s="21">
        <v>36664</v>
      </c>
      <c r="C15" s="10" t="s">
        <v>298</v>
      </c>
      <c r="D15" s="10" t="s">
        <v>422</v>
      </c>
      <c r="E15" s="10" t="s">
        <v>36</v>
      </c>
      <c r="F15" s="10" t="s">
        <v>423</v>
      </c>
      <c r="G15" s="18">
        <f>916290836369</f>
        <v>916290836369</v>
      </c>
      <c r="H15" s="18">
        <f>919225933442</f>
        <v>919225933442</v>
      </c>
      <c r="I15" s="10" t="s">
        <v>310</v>
      </c>
      <c r="J15" s="10" t="s">
        <v>354</v>
      </c>
      <c r="K15" s="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10" t="s">
        <v>443</v>
      </c>
      <c r="B16" s="16">
        <v>37100</v>
      </c>
      <c r="C16" s="10" t="s">
        <v>86</v>
      </c>
      <c r="D16" s="10" t="s">
        <v>89</v>
      </c>
      <c r="E16" s="10" t="s">
        <v>72</v>
      </c>
      <c r="F16" s="10" t="s">
        <v>445</v>
      </c>
      <c r="G16" s="18">
        <f>919845385597</f>
        <v>919845385597</v>
      </c>
      <c r="H16" s="18">
        <f>919353017733</f>
        <v>919353017733</v>
      </c>
      <c r="I16" s="10" t="s">
        <v>310</v>
      </c>
      <c r="J16" s="10" t="s">
        <v>456</v>
      </c>
      <c r="K16" s="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0" t="s">
        <v>465</v>
      </c>
      <c r="B17" s="16">
        <v>33398</v>
      </c>
      <c r="C17" s="10" t="s">
        <v>298</v>
      </c>
      <c r="D17" s="10" t="s">
        <v>89</v>
      </c>
      <c r="E17" s="10" t="s">
        <v>458</v>
      </c>
      <c r="F17" s="10" t="s">
        <v>468</v>
      </c>
      <c r="G17" s="18">
        <f t="shared" ref="G17:H17" si="1">919810158386</f>
        <v>919810158386</v>
      </c>
      <c r="H17" s="18">
        <f t="shared" si="1"/>
        <v>919810158386</v>
      </c>
      <c r="I17" s="10" t="s">
        <v>170</v>
      </c>
      <c r="J17" s="10" t="s">
        <v>475</v>
      </c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0" t="s">
        <v>479</v>
      </c>
      <c r="B18" s="16">
        <v>28875</v>
      </c>
      <c r="C18" s="10" t="s">
        <v>298</v>
      </c>
      <c r="D18" s="10" t="s">
        <v>89</v>
      </c>
      <c r="E18" s="10" t="s">
        <v>36</v>
      </c>
      <c r="F18" s="10" t="s">
        <v>481</v>
      </c>
      <c r="G18" s="18">
        <f>918169174766</f>
        <v>918169174766</v>
      </c>
      <c r="H18" s="18">
        <f>919323877553</f>
        <v>919323877553</v>
      </c>
      <c r="I18" s="10" t="s">
        <v>248</v>
      </c>
      <c r="J18" s="10" t="s">
        <v>354</v>
      </c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0" t="s">
        <v>491</v>
      </c>
      <c r="B19" s="16">
        <v>30263</v>
      </c>
      <c r="C19" s="10" t="s">
        <v>298</v>
      </c>
      <c r="D19" s="10" t="s">
        <v>422</v>
      </c>
      <c r="E19" s="10" t="s">
        <v>36</v>
      </c>
      <c r="F19" s="10" t="s">
        <v>494</v>
      </c>
      <c r="G19" s="18">
        <f>919323877553</f>
        <v>919323877553</v>
      </c>
      <c r="H19" s="18">
        <f>918169174766</f>
        <v>918169174766</v>
      </c>
      <c r="I19" s="10" t="s">
        <v>170</v>
      </c>
      <c r="J19" s="10" t="s">
        <v>354</v>
      </c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0" t="s">
        <v>510</v>
      </c>
      <c r="B20" s="16">
        <v>28681</v>
      </c>
      <c r="C20" s="10" t="s">
        <v>298</v>
      </c>
      <c r="D20" s="10" t="s">
        <v>89</v>
      </c>
      <c r="E20" s="10" t="s">
        <v>36</v>
      </c>
      <c r="F20" s="10" t="s">
        <v>513</v>
      </c>
      <c r="G20" s="18">
        <f>917303788616</f>
        <v>917303788616</v>
      </c>
      <c r="H20" s="18">
        <f>919224434222</f>
        <v>919224434222</v>
      </c>
      <c r="I20" s="10" t="s">
        <v>170</v>
      </c>
      <c r="J20" s="10" t="s">
        <v>354</v>
      </c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0" t="s">
        <v>527</v>
      </c>
      <c r="B21" s="16">
        <v>35017</v>
      </c>
      <c r="C21" s="10" t="s">
        <v>180</v>
      </c>
      <c r="D21" s="10" t="s">
        <v>89</v>
      </c>
      <c r="E21" s="10" t="s">
        <v>36</v>
      </c>
      <c r="F21" s="10" t="s">
        <v>529</v>
      </c>
      <c r="G21" s="18">
        <f>919529263692</f>
        <v>919529263692</v>
      </c>
      <c r="H21" s="18">
        <f>919423506768</f>
        <v>919423506768</v>
      </c>
      <c r="I21" s="10" t="s">
        <v>170</v>
      </c>
      <c r="J21" s="10" t="s">
        <v>536</v>
      </c>
      <c r="K21" s="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0" t="s">
        <v>539</v>
      </c>
      <c r="B22" s="16">
        <v>35689</v>
      </c>
      <c r="C22" s="10" t="s">
        <v>86</v>
      </c>
      <c r="D22" s="10" t="s">
        <v>89</v>
      </c>
      <c r="E22" s="10" t="s">
        <v>540</v>
      </c>
      <c r="F22" s="10" t="s">
        <v>541</v>
      </c>
      <c r="G22" s="18">
        <f t="shared" ref="G22:H22" si="2">919525686523</f>
        <v>919525686523</v>
      </c>
      <c r="H22" s="18">
        <f t="shared" si="2"/>
        <v>919525686523</v>
      </c>
      <c r="I22" s="10" t="s">
        <v>170</v>
      </c>
      <c r="J22" s="10" t="s">
        <v>354</v>
      </c>
      <c r="K22" s="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0" t="s">
        <v>558</v>
      </c>
      <c r="B23" s="16">
        <v>38698</v>
      </c>
      <c r="C23" s="10" t="s">
        <v>86</v>
      </c>
      <c r="D23" s="10" t="s">
        <v>89</v>
      </c>
      <c r="E23" s="10" t="s">
        <v>559</v>
      </c>
      <c r="F23" s="10" t="s">
        <v>562</v>
      </c>
      <c r="G23" s="18">
        <f>919297845806</f>
        <v>919297845806</v>
      </c>
      <c r="H23" s="18">
        <f>918539075274</f>
        <v>918539075274</v>
      </c>
      <c r="I23" s="10" t="s">
        <v>131</v>
      </c>
      <c r="J23" s="10" t="s">
        <v>571</v>
      </c>
      <c r="K23" s="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0" t="s">
        <v>576</v>
      </c>
      <c r="B24" s="16">
        <v>35226</v>
      </c>
      <c r="C24" s="10" t="s">
        <v>86</v>
      </c>
      <c r="D24" s="10" t="s">
        <v>89</v>
      </c>
      <c r="E24" s="10" t="s">
        <v>36</v>
      </c>
      <c r="F24" s="10" t="s">
        <v>579</v>
      </c>
      <c r="G24" s="18">
        <f>919403083007</f>
        <v>919403083007</v>
      </c>
      <c r="H24" s="18">
        <f>918806423346</f>
        <v>918806423346</v>
      </c>
      <c r="I24" s="10" t="s">
        <v>170</v>
      </c>
      <c r="J24" s="10" t="s">
        <v>592</v>
      </c>
      <c r="K24" s="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0" t="s">
        <v>597</v>
      </c>
      <c r="B25" s="16">
        <v>33121</v>
      </c>
      <c r="C25" s="10" t="s">
        <v>298</v>
      </c>
      <c r="D25" s="10" t="s">
        <v>89</v>
      </c>
      <c r="E25" s="10" t="s">
        <v>81</v>
      </c>
      <c r="F25" s="10" t="s">
        <v>602</v>
      </c>
      <c r="G25" s="18">
        <f>918802072903</f>
        <v>918802072903</v>
      </c>
      <c r="H25" s="18">
        <f>919899343400</f>
        <v>919899343400</v>
      </c>
      <c r="I25" s="10" t="s">
        <v>170</v>
      </c>
      <c r="J25" s="10" t="s">
        <v>614</v>
      </c>
      <c r="K25" s="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0" t="s">
        <v>621</v>
      </c>
      <c r="B26" s="16">
        <v>33853</v>
      </c>
      <c r="C26" s="10" t="s">
        <v>86</v>
      </c>
      <c r="D26" s="10" t="s">
        <v>89</v>
      </c>
      <c r="E26" s="10" t="s">
        <v>624</v>
      </c>
      <c r="F26" s="10" t="s">
        <v>625</v>
      </c>
      <c r="G26" s="18">
        <f t="shared" ref="G26:H26" si="3">917679118597</f>
        <v>917679118597</v>
      </c>
      <c r="H26" s="18">
        <f t="shared" si="3"/>
        <v>917679118597</v>
      </c>
      <c r="I26" s="10" t="s">
        <v>170</v>
      </c>
      <c r="J26" s="10" t="s">
        <v>409</v>
      </c>
      <c r="K26" s="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>
      <c r="A27" s="10" t="s">
        <v>641</v>
      </c>
      <c r="B27" s="21">
        <v>32288</v>
      </c>
      <c r="C27" s="10" t="s">
        <v>86</v>
      </c>
      <c r="D27" s="10" t="s">
        <v>89</v>
      </c>
      <c r="E27" s="10" t="s">
        <v>624</v>
      </c>
      <c r="F27" s="10" t="s">
        <v>643</v>
      </c>
      <c r="G27" s="18">
        <f>919674299874</f>
        <v>919674299874</v>
      </c>
      <c r="H27" s="18">
        <f>917477749164</f>
        <v>917477749164</v>
      </c>
      <c r="I27" s="10" t="s">
        <v>170</v>
      </c>
      <c r="J27" s="10" t="s">
        <v>409</v>
      </c>
      <c r="K27" s="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>
      <c r="A28" s="10" t="s">
        <v>656</v>
      </c>
      <c r="B28" s="16">
        <v>33859</v>
      </c>
      <c r="C28" s="10" t="s">
        <v>86</v>
      </c>
      <c r="D28" s="10" t="s">
        <v>89</v>
      </c>
      <c r="E28" s="10" t="s">
        <v>624</v>
      </c>
      <c r="F28" s="10" t="s">
        <v>660</v>
      </c>
      <c r="G28" s="18">
        <f>919732079436</f>
        <v>919732079436</v>
      </c>
      <c r="H28" s="18">
        <f>918250464192</f>
        <v>918250464192</v>
      </c>
      <c r="I28" s="10" t="s">
        <v>170</v>
      </c>
      <c r="J28" s="10" t="s">
        <v>678</v>
      </c>
      <c r="K28" s="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>
      <c r="A29" s="10" t="s">
        <v>680</v>
      </c>
      <c r="B29" s="16">
        <v>39086</v>
      </c>
      <c r="C29" s="10" t="s">
        <v>86</v>
      </c>
      <c r="D29" s="10" t="s">
        <v>89</v>
      </c>
      <c r="E29" s="10" t="s">
        <v>624</v>
      </c>
      <c r="F29" s="10" t="s">
        <v>683</v>
      </c>
      <c r="G29" s="18">
        <f>917044749897</f>
        <v>917044749897</v>
      </c>
      <c r="H29" s="18">
        <f>917003997345</f>
        <v>917003997345</v>
      </c>
      <c r="I29" s="10" t="s">
        <v>170</v>
      </c>
      <c r="J29" s="10" t="s">
        <v>409</v>
      </c>
      <c r="K29" s="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0" t="s">
        <v>700</v>
      </c>
      <c r="B30" s="16">
        <v>32230</v>
      </c>
      <c r="C30" s="10" t="s">
        <v>86</v>
      </c>
      <c r="D30" s="10" t="s">
        <v>89</v>
      </c>
      <c r="E30" s="10" t="s">
        <v>624</v>
      </c>
      <c r="F30" s="10" t="s">
        <v>702</v>
      </c>
      <c r="G30" s="18">
        <f>918918265151</f>
        <v>918918265151</v>
      </c>
      <c r="H30" s="18">
        <f>919933983835</f>
        <v>919933983835</v>
      </c>
      <c r="I30" s="10" t="s">
        <v>248</v>
      </c>
      <c r="J30" s="10" t="s">
        <v>409</v>
      </c>
      <c r="K30" s="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0" t="s">
        <v>729</v>
      </c>
      <c r="B31" s="16">
        <v>36953</v>
      </c>
      <c r="C31" s="10" t="s">
        <v>180</v>
      </c>
      <c r="D31" s="10" t="s">
        <v>89</v>
      </c>
      <c r="E31" s="10" t="s">
        <v>624</v>
      </c>
      <c r="F31" s="10" t="s">
        <v>733</v>
      </c>
      <c r="G31" s="18">
        <f t="shared" ref="G31:H31" si="4">917439565918</f>
        <v>917439565918</v>
      </c>
      <c r="H31" s="18">
        <f t="shared" si="4"/>
        <v>917439565918</v>
      </c>
      <c r="I31" s="10" t="s">
        <v>310</v>
      </c>
      <c r="J31" s="10" t="s">
        <v>742</v>
      </c>
      <c r="K31" s="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0" t="s">
        <v>747</v>
      </c>
      <c r="B32" s="16">
        <v>38763</v>
      </c>
      <c r="C32" s="10" t="s">
        <v>86</v>
      </c>
      <c r="D32" s="10" t="s">
        <v>89</v>
      </c>
      <c r="E32" s="10" t="s">
        <v>752</v>
      </c>
      <c r="F32" s="10" t="s">
        <v>754</v>
      </c>
      <c r="G32" s="18">
        <f>918260882137</f>
        <v>918260882137</v>
      </c>
      <c r="H32" s="18">
        <f>917077189242</f>
        <v>917077189242</v>
      </c>
      <c r="I32" s="10" t="s">
        <v>131</v>
      </c>
      <c r="J32" s="10" t="s">
        <v>768</v>
      </c>
      <c r="K32" s="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0" t="s">
        <v>769</v>
      </c>
      <c r="B33" s="16">
        <v>33425</v>
      </c>
      <c r="C33" s="10" t="s">
        <v>298</v>
      </c>
      <c r="D33" s="10" t="s">
        <v>89</v>
      </c>
      <c r="E33" s="10" t="s">
        <v>36</v>
      </c>
      <c r="F33" s="10" t="s">
        <v>770</v>
      </c>
      <c r="G33" s="18">
        <f>918425093286</f>
        <v>918425093286</v>
      </c>
      <c r="H33" s="18">
        <f>919552766098</f>
        <v>919552766098</v>
      </c>
      <c r="I33" s="10" t="s">
        <v>170</v>
      </c>
      <c r="J33" s="10" t="s">
        <v>354</v>
      </c>
      <c r="K33" s="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0" t="s">
        <v>782</v>
      </c>
      <c r="B34" s="16">
        <v>35267</v>
      </c>
      <c r="C34" s="10" t="s">
        <v>298</v>
      </c>
      <c r="D34" s="10" t="s">
        <v>89</v>
      </c>
      <c r="E34" s="10" t="s">
        <v>36</v>
      </c>
      <c r="F34" s="10" t="s">
        <v>787</v>
      </c>
      <c r="G34" s="18">
        <f>919819836211</f>
        <v>919819836211</v>
      </c>
      <c r="H34" s="18">
        <f>919821998877</f>
        <v>919821998877</v>
      </c>
      <c r="I34" s="10" t="s">
        <v>131</v>
      </c>
      <c r="J34" s="10" t="s">
        <v>354</v>
      </c>
      <c r="K34" s="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0" t="s">
        <v>279</v>
      </c>
      <c r="B35" s="16">
        <v>34335</v>
      </c>
      <c r="C35" s="10" t="s">
        <v>86</v>
      </c>
      <c r="D35" s="10" t="s">
        <v>89</v>
      </c>
      <c r="E35" s="10" t="s">
        <v>798</v>
      </c>
      <c r="F35" s="10" t="s">
        <v>799</v>
      </c>
      <c r="G35" s="18">
        <f t="shared" ref="G35:H35" si="5">918826540306</f>
        <v>918826540306</v>
      </c>
      <c r="H35" s="18">
        <f t="shared" si="5"/>
        <v>918826540306</v>
      </c>
      <c r="I35" s="10" t="s">
        <v>170</v>
      </c>
      <c r="J35" s="10" t="s">
        <v>804</v>
      </c>
      <c r="K35" s="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0" t="s">
        <v>806</v>
      </c>
      <c r="B36" s="21">
        <v>37398</v>
      </c>
      <c r="C36" s="10" t="s">
        <v>298</v>
      </c>
      <c r="D36" s="10" t="s">
        <v>89</v>
      </c>
      <c r="E36" s="10" t="s">
        <v>93</v>
      </c>
      <c r="F36" s="10" t="s">
        <v>810</v>
      </c>
      <c r="G36" s="18">
        <f>918489464845</f>
        <v>918489464845</v>
      </c>
      <c r="H36" s="18">
        <f>919841549192</f>
        <v>919841549192</v>
      </c>
      <c r="I36" s="10" t="s">
        <v>196</v>
      </c>
      <c r="J36" s="10" t="s">
        <v>354</v>
      </c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10" t="s">
        <v>824</v>
      </c>
      <c r="B37" s="16">
        <v>36954</v>
      </c>
      <c r="C37" s="10" t="s">
        <v>86</v>
      </c>
      <c r="D37" s="10" t="s">
        <v>89</v>
      </c>
      <c r="E37" s="10" t="s">
        <v>194</v>
      </c>
      <c r="F37" s="10" t="s">
        <v>826</v>
      </c>
      <c r="G37" s="18">
        <f>918191982537</f>
        <v>918191982537</v>
      </c>
      <c r="H37" s="18">
        <f>919917990114</f>
        <v>919917990114</v>
      </c>
      <c r="I37" s="10" t="s">
        <v>170</v>
      </c>
      <c r="J37" s="10" t="s">
        <v>837</v>
      </c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10" t="s">
        <v>844</v>
      </c>
      <c r="B38" s="16">
        <v>38463</v>
      </c>
      <c r="C38" s="10" t="s">
        <v>86</v>
      </c>
      <c r="D38" s="10" t="s">
        <v>89</v>
      </c>
      <c r="E38" s="10" t="s">
        <v>845</v>
      </c>
      <c r="F38" s="10" t="s">
        <v>847</v>
      </c>
      <c r="G38" s="18">
        <f>919347958359</f>
        <v>919347958359</v>
      </c>
      <c r="H38" s="18">
        <f>919492640429</f>
        <v>919492640429</v>
      </c>
      <c r="I38" s="10" t="s">
        <v>310</v>
      </c>
      <c r="J38" s="10" t="s">
        <v>863</v>
      </c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10" t="s">
        <v>868</v>
      </c>
      <c r="B39" s="16">
        <v>31438</v>
      </c>
      <c r="C39" s="10" t="s">
        <v>86</v>
      </c>
      <c r="D39" s="10" t="s">
        <v>89</v>
      </c>
      <c r="E39" s="10" t="s">
        <v>540</v>
      </c>
      <c r="F39" s="10" t="s">
        <v>872</v>
      </c>
      <c r="G39" s="18">
        <f>919334301260</f>
        <v>919334301260</v>
      </c>
      <c r="H39" s="18">
        <f>919661100823</f>
        <v>919661100823</v>
      </c>
      <c r="I39" s="10" t="s">
        <v>248</v>
      </c>
      <c r="J39" s="10" t="s">
        <v>886</v>
      </c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10" t="s">
        <v>894</v>
      </c>
      <c r="B40" s="21">
        <v>37744</v>
      </c>
      <c r="C40" s="10" t="s">
        <v>86</v>
      </c>
      <c r="D40" s="10" t="s">
        <v>89</v>
      </c>
      <c r="E40" s="10" t="s">
        <v>241</v>
      </c>
      <c r="F40" s="10" t="s">
        <v>897</v>
      </c>
      <c r="G40" s="18">
        <f>919887281337</f>
        <v>919887281337</v>
      </c>
      <c r="H40" s="18">
        <f>919958741621</f>
        <v>919958741621</v>
      </c>
      <c r="I40" s="10" t="s">
        <v>170</v>
      </c>
      <c r="J40" s="10" t="s">
        <v>312</v>
      </c>
      <c r="K40" s="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10" t="s">
        <v>913</v>
      </c>
      <c r="B41" s="16">
        <v>33650</v>
      </c>
      <c r="C41" s="10" t="s">
        <v>86</v>
      </c>
      <c r="D41" s="10" t="s">
        <v>89</v>
      </c>
      <c r="E41" s="10" t="s">
        <v>72</v>
      </c>
      <c r="F41" s="10" t="s">
        <v>916</v>
      </c>
      <c r="G41" s="18">
        <f>918105022346</f>
        <v>918105022346</v>
      </c>
      <c r="H41" s="18">
        <f>917676920463</f>
        <v>917676920463</v>
      </c>
      <c r="I41" s="10" t="s">
        <v>310</v>
      </c>
      <c r="J41" s="10" t="s">
        <v>925</v>
      </c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10" t="s">
        <v>433</v>
      </c>
      <c r="B42" s="16">
        <v>39490</v>
      </c>
      <c r="C42" s="10" t="s">
        <v>298</v>
      </c>
      <c r="D42" s="10" t="s">
        <v>89</v>
      </c>
      <c r="E42" s="10" t="s">
        <v>241</v>
      </c>
      <c r="F42" s="10" t="s">
        <v>931</v>
      </c>
      <c r="G42" s="18">
        <f>918630688080</f>
        <v>918630688080</v>
      </c>
      <c r="H42" s="18">
        <f>919828512922</f>
        <v>919828512922</v>
      </c>
      <c r="I42" s="10" t="s">
        <v>170</v>
      </c>
      <c r="J42" s="10" t="s">
        <v>354</v>
      </c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10" t="s">
        <v>945</v>
      </c>
      <c r="B43" s="16">
        <v>38642</v>
      </c>
      <c r="C43" s="10" t="s">
        <v>86</v>
      </c>
      <c r="D43" s="10" t="s">
        <v>89</v>
      </c>
      <c r="E43" s="10" t="s">
        <v>36</v>
      </c>
      <c r="F43" s="10" t="s">
        <v>946</v>
      </c>
      <c r="G43" s="18">
        <f>919503263910</f>
        <v>919503263910</v>
      </c>
      <c r="H43" s="18">
        <f>919890491062</f>
        <v>919890491062</v>
      </c>
      <c r="I43" s="10" t="s">
        <v>170</v>
      </c>
      <c r="J43" s="10" t="s">
        <v>959</v>
      </c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10" t="s">
        <v>347</v>
      </c>
      <c r="B44" s="16">
        <v>41237</v>
      </c>
      <c r="C44" s="10" t="s">
        <v>86</v>
      </c>
      <c r="D44" s="10" t="s">
        <v>422</v>
      </c>
      <c r="E44" s="10" t="s">
        <v>349</v>
      </c>
      <c r="F44" s="10" t="s">
        <v>966</v>
      </c>
      <c r="G44" s="18">
        <f>919629654666</f>
        <v>919629654666</v>
      </c>
      <c r="H44" s="18">
        <f>919003541491</f>
        <v>919003541491</v>
      </c>
      <c r="I44" s="10" t="s">
        <v>170</v>
      </c>
      <c r="J44" s="10" t="s">
        <v>977</v>
      </c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10" t="s">
        <v>482</v>
      </c>
      <c r="B45" s="16">
        <v>39312</v>
      </c>
      <c r="C45" s="10" t="s">
        <v>979</v>
      </c>
      <c r="D45" s="10" t="s">
        <v>89</v>
      </c>
      <c r="E45" s="10" t="s">
        <v>36</v>
      </c>
      <c r="F45" s="10" t="s">
        <v>981</v>
      </c>
      <c r="G45" s="18">
        <f>919823705300</f>
        <v>919823705300</v>
      </c>
      <c r="H45" s="18">
        <f>917588410807</f>
        <v>917588410807</v>
      </c>
      <c r="I45" s="10" t="s">
        <v>170</v>
      </c>
      <c r="J45" s="10" t="s">
        <v>990</v>
      </c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10" t="s">
        <v>997</v>
      </c>
      <c r="B46" s="16">
        <v>38097</v>
      </c>
      <c r="C46" s="10" t="s">
        <v>86</v>
      </c>
      <c r="D46" s="10" t="s">
        <v>89</v>
      </c>
      <c r="E46" s="10" t="s">
        <v>1000</v>
      </c>
      <c r="F46" s="10" t="s">
        <v>1002</v>
      </c>
      <c r="G46" s="18">
        <f>918260904100</f>
        <v>918260904100</v>
      </c>
      <c r="H46" s="18">
        <f>919777859429</f>
        <v>919777859429</v>
      </c>
      <c r="I46" s="10" t="s">
        <v>131</v>
      </c>
      <c r="J46" s="10" t="s">
        <v>1011</v>
      </c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A47" s="10" t="s">
        <v>1018</v>
      </c>
      <c r="B47" s="16">
        <v>46199</v>
      </c>
      <c r="C47" s="10" t="s">
        <v>979</v>
      </c>
      <c r="D47" s="10" t="s">
        <v>89</v>
      </c>
      <c r="E47" s="10" t="s">
        <v>334</v>
      </c>
      <c r="F47" s="10" t="s">
        <v>1022</v>
      </c>
      <c r="G47" s="18">
        <f>919766310557</f>
        <v>919766310557</v>
      </c>
      <c r="H47" s="18">
        <f>918237172518</f>
        <v>918237172518</v>
      </c>
      <c r="I47" s="10" t="s">
        <v>248</v>
      </c>
      <c r="J47" s="10" t="s">
        <v>1029</v>
      </c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>
      <c r="A48" s="10" t="s">
        <v>1032</v>
      </c>
      <c r="B48" s="16">
        <v>40127</v>
      </c>
      <c r="C48" s="10" t="s">
        <v>86</v>
      </c>
      <c r="D48" s="10" t="s">
        <v>89</v>
      </c>
      <c r="E48" s="10" t="s">
        <v>36</v>
      </c>
      <c r="F48" s="10" t="s">
        <v>1034</v>
      </c>
      <c r="G48" s="18">
        <f>919881139811</f>
        <v>919881139811</v>
      </c>
      <c r="H48" s="18">
        <f>917972297525</f>
        <v>917972297525</v>
      </c>
      <c r="I48" s="10" t="s">
        <v>310</v>
      </c>
      <c r="J48" s="10" t="s">
        <v>354</v>
      </c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>
      <c r="A49" s="10" t="s">
        <v>523</v>
      </c>
      <c r="B49" s="16">
        <v>23993</v>
      </c>
      <c r="C49" s="10" t="s">
        <v>180</v>
      </c>
      <c r="D49" s="10" t="s">
        <v>89</v>
      </c>
      <c r="E49" s="10" t="s">
        <v>241</v>
      </c>
      <c r="F49" s="10" t="s">
        <v>1036</v>
      </c>
      <c r="G49" s="18">
        <f>919414024455</f>
        <v>919414024455</v>
      </c>
      <c r="H49" s="18">
        <f>919414023355</f>
        <v>919414023355</v>
      </c>
      <c r="I49" s="10" t="s">
        <v>196</v>
      </c>
      <c r="J49" s="10" t="s">
        <v>1043</v>
      </c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>
      <c r="A50" s="10" t="s">
        <v>388</v>
      </c>
      <c r="B50" s="16">
        <v>38733</v>
      </c>
      <c r="C50" s="10" t="s">
        <v>86</v>
      </c>
      <c r="D50" s="10" t="s">
        <v>89</v>
      </c>
      <c r="E50" s="10" t="s">
        <v>390</v>
      </c>
      <c r="F50" s="10" t="s">
        <v>1046</v>
      </c>
      <c r="G50" s="18">
        <f>918824523235</f>
        <v>918824523235</v>
      </c>
      <c r="H50" s="18">
        <f>919958741621</f>
        <v>919958741621</v>
      </c>
      <c r="I50" s="10" t="s">
        <v>170</v>
      </c>
      <c r="J50" s="10" t="s">
        <v>1061</v>
      </c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>
      <c r="A51" s="10" t="s">
        <v>1062</v>
      </c>
      <c r="B51" s="21">
        <v>38852</v>
      </c>
      <c r="C51" s="10" t="s">
        <v>86</v>
      </c>
      <c r="D51" s="10" t="s">
        <v>89</v>
      </c>
      <c r="E51" s="10" t="s">
        <v>72</v>
      </c>
      <c r="F51" s="10" t="s">
        <v>1063</v>
      </c>
      <c r="G51" s="18">
        <f>918655087953</f>
        <v>918655087953</v>
      </c>
      <c r="H51" s="18">
        <f>919902917881</f>
        <v>919902917881</v>
      </c>
      <c r="I51" s="10" t="s">
        <v>310</v>
      </c>
      <c r="J51" s="10" t="s">
        <v>354</v>
      </c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>
      <c r="A52" s="10" t="s">
        <v>1086</v>
      </c>
      <c r="B52" s="16">
        <v>32922</v>
      </c>
      <c r="C52" s="10" t="s">
        <v>86</v>
      </c>
      <c r="D52" s="10" t="s">
        <v>89</v>
      </c>
      <c r="E52" s="10" t="s">
        <v>349</v>
      </c>
      <c r="F52" s="10" t="s">
        <v>1089</v>
      </c>
      <c r="G52" s="18">
        <f>919566404308</f>
        <v>919566404308</v>
      </c>
      <c r="H52" s="18">
        <f>919841549192</f>
        <v>919841549192</v>
      </c>
      <c r="I52" s="10" t="s">
        <v>310</v>
      </c>
      <c r="J52" s="10" t="s">
        <v>592</v>
      </c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>
      <c r="A53" s="10" t="s">
        <v>1111</v>
      </c>
      <c r="B53" s="16">
        <v>36247</v>
      </c>
      <c r="C53" s="10" t="s">
        <v>86</v>
      </c>
      <c r="D53" s="10" t="s">
        <v>89</v>
      </c>
      <c r="E53" s="10" t="s">
        <v>36</v>
      </c>
      <c r="F53" s="10" t="s">
        <v>1115</v>
      </c>
      <c r="G53" s="18">
        <f>919145505731</f>
        <v>919145505731</v>
      </c>
      <c r="H53" s="18">
        <f>918169069247</f>
        <v>918169069247</v>
      </c>
      <c r="I53" s="10" t="s">
        <v>131</v>
      </c>
      <c r="J53" s="10" t="s">
        <v>678</v>
      </c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>
      <c r="A54" s="10" t="s">
        <v>1135</v>
      </c>
      <c r="B54" s="16">
        <v>36015</v>
      </c>
      <c r="C54" s="10" t="s">
        <v>86</v>
      </c>
      <c r="D54" s="10" t="s">
        <v>89</v>
      </c>
      <c r="E54" s="10" t="s">
        <v>155</v>
      </c>
      <c r="F54" s="10" t="s">
        <v>1136</v>
      </c>
      <c r="G54" s="18">
        <f>919787289718</f>
        <v>919787289718</v>
      </c>
      <c r="H54" s="18">
        <f t="shared" ref="H54:H55" si="6">919841549192</f>
        <v>919841549192</v>
      </c>
      <c r="I54" s="10" t="s">
        <v>131</v>
      </c>
      <c r="J54" s="10" t="s">
        <v>354</v>
      </c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>
      <c r="A55" s="10" t="s">
        <v>1147</v>
      </c>
      <c r="B55" s="16">
        <v>27816</v>
      </c>
      <c r="C55" s="10" t="s">
        <v>86</v>
      </c>
      <c r="D55" s="10" t="s">
        <v>89</v>
      </c>
      <c r="E55" s="10" t="s">
        <v>1148</v>
      </c>
      <c r="F55" s="10" t="s">
        <v>1149</v>
      </c>
      <c r="G55" s="18">
        <f>918778238171</f>
        <v>918778238171</v>
      </c>
      <c r="H55" s="18">
        <f t="shared" si="6"/>
        <v>919841549192</v>
      </c>
      <c r="I55" s="10" t="s">
        <v>310</v>
      </c>
      <c r="J55" s="10" t="s">
        <v>475</v>
      </c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>
      <c r="A56" s="10" t="s">
        <v>1163</v>
      </c>
      <c r="B56" s="16">
        <v>28514</v>
      </c>
      <c r="C56" s="10" t="s">
        <v>86</v>
      </c>
      <c r="D56" s="10" t="s">
        <v>89</v>
      </c>
      <c r="E56" s="10" t="s">
        <v>334</v>
      </c>
      <c r="F56" s="10" t="s">
        <v>1168</v>
      </c>
      <c r="G56" s="18">
        <f>917588576150</f>
        <v>917588576150</v>
      </c>
      <c r="H56" s="18">
        <f>919422617792</f>
        <v>919422617792</v>
      </c>
      <c r="I56" s="10" t="s">
        <v>170</v>
      </c>
      <c r="J56" s="10" t="s">
        <v>354</v>
      </c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>
      <c r="A57" s="10" t="s">
        <v>1110</v>
      </c>
      <c r="B57" s="16">
        <v>37803</v>
      </c>
      <c r="C57" s="10" t="s">
        <v>86</v>
      </c>
      <c r="D57" s="10" t="s">
        <v>89</v>
      </c>
      <c r="E57" s="10" t="s">
        <v>798</v>
      </c>
      <c r="F57" s="10" t="s">
        <v>1193</v>
      </c>
      <c r="G57" s="18">
        <f>918059250786</f>
        <v>918059250786</v>
      </c>
      <c r="H57" s="18">
        <f>919991426548</f>
        <v>919991426548</v>
      </c>
      <c r="I57" s="10" t="s">
        <v>131</v>
      </c>
      <c r="J57" s="10" t="s">
        <v>354</v>
      </c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>
      <c r="A58" s="10" t="s">
        <v>262</v>
      </c>
      <c r="B58" s="16">
        <v>33696</v>
      </c>
      <c r="C58" s="10" t="s">
        <v>86</v>
      </c>
      <c r="D58" s="10" t="s">
        <v>89</v>
      </c>
      <c r="E58" s="10" t="s">
        <v>264</v>
      </c>
      <c r="F58" s="10" t="s">
        <v>1214</v>
      </c>
      <c r="G58" s="18">
        <f>917508331825</f>
        <v>917508331825</v>
      </c>
      <c r="H58" s="18">
        <f>919463461041</f>
        <v>919463461041</v>
      </c>
      <c r="I58" s="10" t="s">
        <v>170</v>
      </c>
      <c r="J58" s="10" t="s">
        <v>1230</v>
      </c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>
      <c r="A59" s="10" t="s">
        <v>378</v>
      </c>
      <c r="B59" s="16">
        <v>30109</v>
      </c>
      <c r="C59" s="10" t="s">
        <v>86</v>
      </c>
      <c r="D59" s="10" t="s">
        <v>89</v>
      </c>
      <c r="E59" s="10" t="s">
        <v>93</v>
      </c>
      <c r="F59" s="10" t="s">
        <v>1238</v>
      </c>
      <c r="G59" s="18">
        <f>918805690347</f>
        <v>918805690347</v>
      </c>
      <c r="H59" s="18">
        <f>918999415367</f>
        <v>918999415367</v>
      </c>
      <c r="I59" s="10" t="s">
        <v>170</v>
      </c>
      <c r="J59" s="10" t="s">
        <v>354</v>
      </c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>
      <c r="A60" s="10" t="s">
        <v>401</v>
      </c>
      <c r="B60" s="16">
        <v>33029</v>
      </c>
      <c r="C60" s="10" t="s">
        <v>86</v>
      </c>
      <c r="D60" s="10" t="s">
        <v>89</v>
      </c>
      <c r="E60" s="10" t="s">
        <v>183</v>
      </c>
      <c r="F60" s="10" t="s">
        <v>1260</v>
      </c>
      <c r="G60" s="18">
        <f>916301308105</f>
        <v>916301308105</v>
      </c>
      <c r="H60" s="18">
        <f>918956888105</f>
        <v>918956888105</v>
      </c>
      <c r="I60" s="10" t="s">
        <v>310</v>
      </c>
      <c r="J60" s="10" t="s">
        <v>1275</v>
      </c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>
      <c r="A61" s="10" t="s">
        <v>1137</v>
      </c>
      <c r="B61" s="16">
        <v>33790</v>
      </c>
      <c r="C61" s="10" t="s">
        <v>86</v>
      </c>
      <c r="D61" s="10" t="s">
        <v>89</v>
      </c>
      <c r="E61" s="10" t="s">
        <v>183</v>
      </c>
      <c r="F61" s="10" t="s">
        <v>1281</v>
      </c>
      <c r="G61" s="18">
        <f>919545192284</f>
        <v>919545192284</v>
      </c>
      <c r="H61" s="18">
        <f>919483078959</f>
        <v>919483078959</v>
      </c>
      <c r="I61" s="10" t="s">
        <v>310</v>
      </c>
      <c r="J61" s="10" t="s">
        <v>312</v>
      </c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>
      <c r="A62" s="10" t="s">
        <v>332</v>
      </c>
      <c r="B62" s="16">
        <v>38040</v>
      </c>
      <c r="C62" s="10" t="s">
        <v>86</v>
      </c>
      <c r="D62" s="10" t="s">
        <v>422</v>
      </c>
      <c r="E62" s="10" t="s">
        <v>36</v>
      </c>
      <c r="F62" s="10" t="s">
        <v>1301</v>
      </c>
      <c r="G62" s="18">
        <f>919356185245</f>
        <v>919356185245</v>
      </c>
      <c r="H62" s="18">
        <f>919405249653</f>
        <v>919405249653</v>
      </c>
      <c r="I62" s="10" t="s">
        <v>131</v>
      </c>
      <c r="J62" s="10" t="s">
        <v>678</v>
      </c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>
      <c r="A63" s="10" t="s">
        <v>1073</v>
      </c>
      <c r="B63" s="16" t="s">
        <v>1315</v>
      </c>
      <c r="C63" s="10" t="s">
        <v>86</v>
      </c>
      <c r="D63" s="10" t="s">
        <v>1317</v>
      </c>
      <c r="E63" s="10" t="s">
        <v>446</v>
      </c>
      <c r="F63" s="29" t="s">
        <v>1322</v>
      </c>
      <c r="G63" s="18">
        <v>9642966766</v>
      </c>
      <c r="H63" s="18">
        <v>9390131777</v>
      </c>
      <c r="I63" s="10" t="s">
        <v>1350</v>
      </c>
      <c r="J63" s="10" t="s">
        <v>1352</v>
      </c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>
      <c r="A64" s="10" t="s">
        <v>1354</v>
      </c>
      <c r="B64" s="16">
        <v>35254</v>
      </c>
      <c r="C64" s="10" t="s">
        <v>86</v>
      </c>
      <c r="D64" s="10" t="s">
        <v>1317</v>
      </c>
      <c r="E64" s="10" t="s">
        <v>446</v>
      </c>
      <c r="F64" s="29" t="s">
        <v>1359</v>
      </c>
      <c r="G64" s="18">
        <v>9492920623</v>
      </c>
      <c r="H64" s="18">
        <v>9390131777</v>
      </c>
      <c r="I64" s="10" t="s">
        <v>1364</v>
      </c>
      <c r="J64" s="10" t="s">
        <v>1365</v>
      </c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>
      <c r="A65" s="10" t="s">
        <v>1182</v>
      </c>
      <c r="B65" s="16" t="s">
        <v>1372</v>
      </c>
      <c r="C65" s="10" t="s">
        <v>86</v>
      </c>
      <c r="D65" s="10" t="s">
        <v>1374</v>
      </c>
      <c r="E65" s="10" t="s">
        <v>446</v>
      </c>
      <c r="F65" s="29" t="s">
        <v>1375</v>
      </c>
      <c r="G65" s="18">
        <v>9246814646</v>
      </c>
      <c r="H65" s="18">
        <v>9390131777</v>
      </c>
      <c r="I65" s="10" t="s">
        <v>1350</v>
      </c>
      <c r="J65" s="10" t="s">
        <v>1352</v>
      </c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>
      <c r="A66" s="10" t="s">
        <v>1381</v>
      </c>
      <c r="B66" s="16" t="s">
        <v>1383</v>
      </c>
      <c r="C66" s="10" t="s">
        <v>86</v>
      </c>
      <c r="D66" s="10" t="s">
        <v>1374</v>
      </c>
      <c r="E66" s="10" t="s">
        <v>446</v>
      </c>
      <c r="F66" s="29" t="s">
        <v>1386</v>
      </c>
      <c r="G66" s="18">
        <v>9949336201</v>
      </c>
      <c r="H66" s="18">
        <v>9390131777</v>
      </c>
      <c r="I66" s="10" t="s">
        <v>1390</v>
      </c>
      <c r="J66" s="10" t="s">
        <v>1391</v>
      </c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>
      <c r="A67" s="10" t="s">
        <v>444</v>
      </c>
      <c r="B67" s="16" t="s">
        <v>1393</v>
      </c>
      <c r="C67" s="10" t="s">
        <v>86</v>
      </c>
      <c r="D67" s="10" t="s">
        <v>1374</v>
      </c>
      <c r="E67" s="10" t="s">
        <v>446</v>
      </c>
      <c r="F67" s="29" t="s">
        <v>1397</v>
      </c>
      <c r="G67" s="18">
        <v>7337574059</v>
      </c>
      <c r="H67" s="18">
        <v>9390131777</v>
      </c>
      <c r="I67" s="10" t="s">
        <v>1350</v>
      </c>
      <c r="J67" s="10" t="s">
        <v>1391</v>
      </c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>
      <c r="A68" s="10" t="s">
        <v>496</v>
      </c>
      <c r="B68" s="16">
        <v>40457</v>
      </c>
      <c r="C68" s="10" t="s">
        <v>86</v>
      </c>
      <c r="D68" s="10" t="s">
        <v>1374</v>
      </c>
      <c r="E68" s="10" t="s">
        <v>446</v>
      </c>
      <c r="F68" s="29" t="s">
        <v>1408</v>
      </c>
      <c r="G68" s="18">
        <v>8688797079</v>
      </c>
      <c r="H68" s="18">
        <v>9390131777</v>
      </c>
      <c r="I68" s="10" t="s">
        <v>1350</v>
      </c>
      <c r="J68" s="10" t="s">
        <v>1391</v>
      </c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>
      <c r="A69" s="10" t="s">
        <v>1417</v>
      </c>
      <c r="B69" s="16" t="s">
        <v>1419</v>
      </c>
      <c r="C69" s="10" t="s">
        <v>86</v>
      </c>
      <c r="D69" s="10" t="s">
        <v>1374</v>
      </c>
      <c r="E69" s="10" t="s">
        <v>446</v>
      </c>
      <c r="F69" s="29" t="s">
        <v>1424</v>
      </c>
      <c r="G69" s="18">
        <v>8317588170</v>
      </c>
      <c r="H69" s="18">
        <v>9390131777</v>
      </c>
      <c r="I69" s="10" t="s">
        <v>1350</v>
      </c>
      <c r="J69" s="10" t="s">
        <v>1391</v>
      </c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>
      <c r="A70" s="10" t="s">
        <v>1409</v>
      </c>
      <c r="B70" s="16">
        <v>41254</v>
      </c>
      <c r="C70" s="10" t="s">
        <v>86</v>
      </c>
      <c r="D70" s="10" t="s">
        <v>1374</v>
      </c>
      <c r="E70" s="10" t="s">
        <v>446</v>
      </c>
      <c r="F70" s="29" t="s">
        <v>1435</v>
      </c>
      <c r="G70" s="18">
        <v>7382386894</v>
      </c>
      <c r="H70" s="18">
        <v>9390131777</v>
      </c>
      <c r="I70" s="10" t="s">
        <v>1350</v>
      </c>
      <c r="J70" s="10" t="s">
        <v>1391</v>
      </c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>
      <c r="A71" s="10" t="s">
        <v>487</v>
      </c>
      <c r="B71" s="16" t="s">
        <v>1444</v>
      </c>
      <c r="C71" s="10" t="s">
        <v>86</v>
      </c>
      <c r="D71" s="10" t="s">
        <v>1374</v>
      </c>
      <c r="E71" s="10" t="s">
        <v>446</v>
      </c>
      <c r="F71" s="29" t="s">
        <v>1448</v>
      </c>
      <c r="G71" s="18">
        <v>7205508123</v>
      </c>
      <c r="H71" s="18">
        <v>9390131777</v>
      </c>
      <c r="I71" s="10" t="s">
        <v>141</v>
      </c>
      <c r="J71" s="10" t="s">
        <v>1391</v>
      </c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>
      <c r="A72" s="10" t="s">
        <v>1455</v>
      </c>
      <c r="B72" s="16" t="s">
        <v>1456</v>
      </c>
      <c r="C72" s="10" t="s">
        <v>86</v>
      </c>
      <c r="D72" s="10" t="s">
        <v>1374</v>
      </c>
      <c r="E72" s="10" t="s">
        <v>446</v>
      </c>
      <c r="F72" s="29" t="s">
        <v>1457</v>
      </c>
      <c r="G72" s="18">
        <v>9346313799</v>
      </c>
      <c r="H72" s="18">
        <v>9390131777</v>
      </c>
      <c r="I72" s="10" t="s">
        <v>141</v>
      </c>
      <c r="J72" s="10" t="s">
        <v>1391</v>
      </c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>
      <c r="A73" s="10" t="s">
        <v>1463</v>
      </c>
      <c r="B73" s="16" t="s">
        <v>1465</v>
      </c>
      <c r="C73" s="10" t="s">
        <v>86</v>
      </c>
      <c r="D73" s="10" t="s">
        <v>1374</v>
      </c>
      <c r="E73" s="10" t="s">
        <v>446</v>
      </c>
      <c r="F73" s="29" t="s">
        <v>1471</v>
      </c>
      <c r="G73" s="18">
        <v>9052688506</v>
      </c>
      <c r="H73" s="18">
        <v>9390131777</v>
      </c>
      <c r="I73" s="10" t="s">
        <v>141</v>
      </c>
      <c r="J73" s="10" t="s">
        <v>1391</v>
      </c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>
      <c r="A74" s="10" t="s">
        <v>1480</v>
      </c>
      <c r="B74" s="16" t="s">
        <v>1481</v>
      </c>
      <c r="C74" s="10" t="s">
        <v>86</v>
      </c>
      <c r="D74" s="10" t="s">
        <v>1374</v>
      </c>
      <c r="E74" s="10" t="s">
        <v>446</v>
      </c>
      <c r="F74" s="29" t="s">
        <v>1483</v>
      </c>
      <c r="G74" s="18">
        <v>9182946849</v>
      </c>
      <c r="H74" s="18">
        <v>9390131777</v>
      </c>
      <c r="I74" s="10" t="s">
        <v>1364</v>
      </c>
      <c r="J74" s="10" t="s">
        <v>1391</v>
      </c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>
      <c r="A75" s="10" t="s">
        <v>1194</v>
      </c>
      <c r="B75" s="16" t="s">
        <v>1491</v>
      </c>
      <c r="C75" s="10" t="s">
        <v>86</v>
      </c>
      <c r="D75" s="10" t="s">
        <v>1374</v>
      </c>
      <c r="E75" s="10" t="s">
        <v>446</v>
      </c>
      <c r="F75" s="29" t="s">
        <v>1496</v>
      </c>
      <c r="G75" s="18">
        <v>9052688506</v>
      </c>
      <c r="H75" s="18">
        <v>9390131777</v>
      </c>
      <c r="I75" s="10" t="s">
        <v>1364</v>
      </c>
      <c r="J75" s="10" t="s">
        <v>1352</v>
      </c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>
      <c r="A76" s="10" t="s">
        <v>1482</v>
      </c>
      <c r="B76" s="16" t="s">
        <v>1501</v>
      </c>
      <c r="C76" s="10" t="s">
        <v>180</v>
      </c>
      <c r="D76" s="10" t="s">
        <v>1374</v>
      </c>
      <c r="E76" s="10" t="s">
        <v>446</v>
      </c>
      <c r="F76" s="29" t="s">
        <v>1503</v>
      </c>
      <c r="G76" s="18">
        <v>8688101200</v>
      </c>
      <c r="H76" s="18">
        <v>9390131777</v>
      </c>
      <c r="I76" s="10" t="s">
        <v>1505</v>
      </c>
      <c r="J76" s="10" t="s">
        <v>1352</v>
      </c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>
      <c r="A77" s="10" t="s">
        <v>1512</v>
      </c>
      <c r="B77" s="16">
        <v>32056</v>
      </c>
      <c r="C77" s="10" t="s">
        <v>86</v>
      </c>
      <c r="D77" s="10" t="s">
        <v>1374</v>
      </c>
      <c r="E77" s="10" t="s">
        <v>446</v>
      </c>
      <c r="F77" s="29" t="s">
        <v>1513</v>
      </c>
      <c r="G77" s="18">
        <v>9951811235</v>
      </c>
      <c r="H77" s="18">
        <v>9390131777</v>
      </c>
      <c r="I77" s="10" t="s">
        <v>141</v>
      </c>
      <c r="J77" s="10" t="s">
        <v>1352</v>
      </c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>
      <c r="A78" s="10" t="s">
        <v>1519</v>
      </c>
      <c r="B78" s="16" t="s">
        <v>1520</v>
      </c>
      <c r="C78" s="10" t="s">
        <v>86</v>
      </c>
      <c r="D78" s="10" t="s">
        <v>1374</v>
      </c>
      <c r="E78" s="10" t="s">
        <v>446</v>
      </c>
      <c r="F78" s="29" t="s">
        <v>1522</v>
      </c>
      <c r="G78" s="18">
        <v>8919899256</v>
      </c>
      <c r="H78" s="18">
        <v>9390131777</v>
      </c>
      <c r="I78" s="10" t="s">
        <v>1364</v>
      </c>
      <c r="J78" s="10" t="s">
        <v>1352</v>
      </c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>
      <c r="A79" s="10" t="s">
        <v>1528</v>
      </c>
      <c r="B79" s="16" t="s">
        <v>1530</v>
      </c>
      <c r="C79" s="10" t="s">
        <v>86</v>
      </c>
      <c r="D79" s="10" t="s">
        <v>1374</v>
      </c>
      <c r="E79" s="10" t="s">
        <v>446</v>
      </c>
      <c r="F79" s="29" t="s">
        <v>1534</v>
      </c>
      <c r="G79" s="18">
        <v>9848191447</v>
      </c>
      <c r="H79" s="18">
        <v>9390131777</v>
      </c>
      <c r="I79" s="10" t="s">
        <v>141</v>
      </c>
      <c r="J79" s="10" t="s">
        <v>1352</v>
      </c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>
      <c r="A80" s="10" t="s">
        <v>1545</v>
      </c>
      <c r="B80" s="16" t="s">
        <v>1547</v>
      </c>
      <c r="C80" s="10" t="s">
        <v>86</v>
      </c>
      <c r="D80" s="10" t="s">
        <v>1374</v>
      </c>
      <c r="E80" s="10" t="s">
        <v>446</v>
      </c>
      <c r="F80" s="29" t="s">
        <v>1556</v>
      </c>
      <c r="G80" s="18">
        <v>9542318618</v>
      </c>
      <c r="H80" s="18">
        <v>9390131777</v>
      </c>
      <c r="I80" s="10" t="s">
        <v>141</v>
      </c>
      <c r="J80" s="10" t="s">
        <v>1352</v>
      </c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>
      <c r="A81" s="10" t="s">
        <v>1570</v>
      </c>
      <c r="B81" s="16">
        <v>39332</v>
      </c>
      <c r="C81" s="10" t="s">
        <v>86</v>
      </c>
      <c r="D81" s="10" t="s">
        <v>1374</v>
      </c>
      <c r="E81" s="10" t="s">
        <v>446</v>
      </c>
      <c r="F81" s="29" t="s">
        <v>1573</v>
      </c>
      <c r="G81" s="18">
        <v>9502029594</v>
      </c>
      <c r="H81" s="18">
        <v>9390131777</v>
      </c>
      <c r="I81" s="10" t="s">
        <v>141</v>
      </c>
      <c r="J81" s="10" t="s">
        <v>1352</v>
      </c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>
      <c r="A82" s="10" t="s">
        <v>1583</v>
      </c>
      <c r="B82" s="16">
        <v>40367</v>
      </c>
      <c r="C82" s="10" t="s">
        <v>86</v>
      </c>
      <c r="D82" s="10" t="s">
        <v>1374</v>
      </c>
      <c r="E82" s="10" t="s">
        <v>446</v>
      </c>
      <c r="F82" s="29" t="s">
        <v>1585</v>
      </c>
      <c r="G82" s="18">
        <v>9704552652</v>
      </c>
      <c r="H82" s="18">
        <v>9390131777</v>
      </c>
      <c r="I82" s="10" t="s">
        <v>141</v>
      </c>
      <c r="J82" s="10" t="s">
        <v>1352</v>
      </c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>
      <c r="A83" s="10" t="s">
        <v>1594</v>
      </c>
      <c r="B83" s="16" t="s">
        <v>1595</v>
      </c>
      <c r="C83" s="10" t="s">
        <v>86</v>
      </c>
      <c r="D83" s="10" t="s">
        <v>1374</v>
      </c>
      <c r="E83" s="10" t="s">
        <v>446</v>
      </c>
      <c r="F83" s="29" t="s">
        <v>1599</v>
      </c>
      <c r="G83" s="18">
        <v>9014583532</v>
      </c>
      <c r="H83" s="18">
        <v>9390131777</v>
      </c>
      <c r="I83" s="10" t="s">
        <v>141</v>
      </c>
      <c r="J83" s="10" t="s">
        <v>1352</v>
      </c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>
      <c r="A84" s="33" t="s">
        <v>1609</v>
      </c>
      <c r="B84" s="33" t="s">
        <v>1616</v>
      </c>
      <c r="C84" s="33" t="s">
        <v>1618</v>
      </c>
      <c r="D84" s="33" t="s">
        <v>89</v>
      </c>
      <c r="E84" s="33" t="s">
        <v>1620</v>
      </c>
      <c r="F84" s="34"/>
      <c r="G84" s="34"/>
      <c r="H84" s="34"/>
      <c r="I84" s="34"/>
      <c r="J84" s="34"/>
      <c r="K84" s="34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28">
      <c r="A85" s="36" t="s">
        <v>1261</v>
      </c>
      <c r="B85" s="37">
        <v>30442</v>
      </c>
      <c r="C85" s="36" t="s">
        <v>86</v>
      </c>
      <c r="D85" s="36" t="s">
        <v>89</v>
      </c>
      <c r="E85" s="36" t="s">
        <v>1148</v>
      </c>
      <c r="F85" s="34"/>
      <c r="G85" s="34"/>
      <c r="H85" s="34"/>
      <c r="I85" s="34"/>
      <c r="J85" s="34"/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>
      <c r="A86" s="38" t="s">
        <v>1490</v>
      </c>
      <c r="B86" s="40">
        <v>35344</v>
      </c>
      <c r="C86" s="36" t="s">
        <v>180</v>
      </c>
      <c r="D86" s="38" t="s">
        <v>89</v>
      </c>
      <c r="E86" s="38" t="s">
        <v>155</v>
      </c>
      <c r="F86" s="34"/>
      <c r="G86" s="34"/>
      <c r="H86" s="34"/>
      <c r="I86" s="34"/>
      <c r="J86" s="34"/>
      <c r="K86" s="14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>
      <c r="A87" s="83" t="s">
        <v>1664</v>
      </c>
      <c r="B87" s="80"/>
      <c r="C87" s="80"/>
      <c r="D87" s="80"/>
      <c r="E87" s="80"/>
      <c r="F87" s="80"/>
      <c r="G87" s="80"/>
      <c r="H87" s="80"/>
      <c r="I87" s="80"/>
      <c r="J87" s="81"/>
      <c r="K87" s="14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>
      <c r="A88" s="41" t="s">
        <v>3</v>
      </c>
      <c r="B88" s="41" t="s">
        <v>2</v>
      </c>
      <c r="C88" s="41" t="s">
        <v>0</v>
      </c>
      <c r="D88" s="41" t="s">
        <v>4</v>
      </c>
      <c r="E88" s="41" t="s">
        <v>5</v>
      </c>
      <c r="F88" s="2" t="s">
        <v>6</v>
      </c>
      <c r="G88" s="2" t="s">
        <v>1684</v>
      </c>
      <c r="H88" s="2" t="s">
        <v>1685</v>
      </c>
      <c r="I88" s="2" t="s">
        <v>1687</v>
      </c>
      <c r="J88" s="2" t="s">
        <v>1690</v>
      </c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>
      <c r="A89" s="10" t="s">
        <v>107</v>
      </c>
      <c r="B89" s="16">
        <v>41969</v>
      </c>
      <c r="C89" s="10" t="s">
        <v>662</v>
      </c>
      <c r="D89" s="10" t="s">
        <v>422</v>
      </c>
      <c r="E89" s="10" t="s">
        <v>155</v>
      </c>
      <c r="F89" s="10" t="s">
        <v>1697</v>
      </c>
      <c r="G89" s="18">
        <f>919841144490</f>
        <v>919841144490</v>
      </c>
      <c r="H89" s="18">
        <f>918248402288</f>
        <v>918248402288</v>
      </c>
      <c r="I89" s="10" t="s">
        <v>131</v>
      </c>
      <c r="J89" s="10" t="s">
        <v>354</v>
      </c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>
      <c r="A90" s="10" t="s">
        <v>107</v>
      </c>
      <c r="B90" s="16">
        <v>41946</v>
      </c>
      <c r="C90" s="10" t="s">
        <v>652</v>
      </c>
      <c r="D90" s="10" t="s">
        <v>422</v>
      </c>
      <c r="E90" s="10" t="s">
        <v>36</v>
      </c>
      <c r="F90" s="10" t="s">
        <v>1730</v>
      </c>
      <c r="G90" s="18">
        <f>917709061393</f>
        <v>917709061393</v>
      </c>
      <c r="H90" s="18">
        <f>918237841687</f>
        <v>918237841687</v>
      </c>
      <c r="I90" s="10" t="s">
        <v>131</v>
      </c>
      <c r="J90" s="10" t="s">
        <v>592</v>
      </c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>
      <c r="A91" s="10" t="s">
        <v>107</v>
      </c>
      <c r="B91" s="16">
        <v>42929</v>
      </c>
      <c r="C91" s="10" t="s">
        <v>1750</v>
      </c>
      <c r="D91" s="10" t="s">
        <v>422</v>
      </c>
      <c r="E91" s="10" t="s">
        <v>1752</v>
      </c>
      <c r="F91" s="10" t="s">
        <v>1755</v>
      </c>
      <c r="G91" s="18">
        <f>919423220881</f>
        <v>919423220881</v>
      </c>
      <c r="H91" s="18">
        <f>919503548988</f>
        <v>919503548988</v>
      </c>
      <c r="I91" s="10" t="s">
        <v>1767</v>
      </c>
      <c r="J91" s="10" t="s">
        <v>354</v>
      </c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>
      <c r="A92" s="10" t="s">
        <v>107</v>
      </c>
      <c r="B92" s="16">
        <v>42347</v>
      </c>
      <c r="C92" s="10" t="s">
        <v>758</v>
      </c>
      <c r="D92" s="10" t="s">
        <v>422</v>
      </c>
      <c r="E92" s="10" t="s">
        <v>36</v>
      </c>
      <c r="F92" s="10" t="s">
        <v>1775</v>
      </c>
      <c r="G92" s="18">
        <f>919422318439</f>
        <v>919422318439</v>
      </c>
      <c r="H92" s="18">
        <f>918806009446</f>
        <v>918806009446</v>
      </c>
      <c r="I92" s="10" t="s">
        <v>1767</v>
      </c>
      <c r="J92" s="10" t="s">
        <v>1786</v>
      </c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>
      <c r="A93" s="10" t="s">
        <v>107</v>
      </c>
      <c r="B93" s="16">
        <v>41372</v>
      </c>
      <c r="C93" s="10" t="s">
        <v>598</v>
      </c>
      <c r="D93" s="10" t="s">
        <v>422</v>
      </c>
      <c r="E93" s="10" t="s">
        <v>93</v>
      </c>
      <c r="F93" s="10" t="s">
        <v>1796</v>
      </c>
      <c r="G93" s="18">
        <f>917358825113</f>
        <v>917358825113</v>
      </c>
      <c r="H93" s="18">
        <f>919994422726</f>
        <v>919994422726</v>
      </c>
      <c r="I93" s="10" t="s">
        <v>131</v>
      </c>
      <c r="J93" s="10" t="s">
        <v>354</v>
      </c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>
      <c r="A94" s="10" t="s">
        <v>107</v>
      </c>
      <c r="B94" s="16">
        <v>42055</v>
      </c>
      <c r="C94" s="10" t="s">
        <v>634</v>
      </c>
      <c r="D94" s="10" t="s">
        <v>422</v>
      </c>
      <c r="E94" s="10" t="s">
        <v>72</v>
      </c>
      <c r="F94" s="10" t="s">
        <v>1815</v>
      </c>
      <c r="G94" s="18">
        <f>919844556586</f>
        <v>919844556586</v>
      </c>
      <c r="H94" s="18">
        <f>919448190925</f>
        <v>919448190925</v>
      </c>
      <c r="I94" s="10" t="s">
        <v>170</v>
      </c>
      <c r="J94" s="10" t="s">
        <v>678</v>
      </c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>
      <c r="A95" s="10" t="s">
        <v>107</v>
      </c>
      <c r="B95" s="21">
        <v>43224</v>
      </c>
      <c r="C95" s="10" t="s">
        <v>771</v>
      </c>
      <c r="D95" s="10" t="s">
        <v>422</v>
      </c>
      <c r="E95" s="10" t="s">
        <v>36</v>
      </c>
      <c r="F95" s="10" t="s">
        <v>1837</v>
      </c>
      <c r="G95" s="18">
        <f>919823048856</f>
        <v>919823048856</v>
      </c>
      <c r="H95" s="18">
        <f>919423869256</f>
        <v>919423869256</v>
      </c>
      <c r="I95" s="10" t="s">
        <v>1767</v>
      </c>
      <c r="J95" s="10" t="s">
        <v>592</v>
      </c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>
      <c r="A96" s="10" t="s">
        <v>107</v>
      </c>
      <c r="B96" s="16">
        <v>42830</v>
      </c>
      <c r="C96" s="10" t="s">
        <v>615</v>
      </c>
      <c r="D96" s="10" t="s">
        <v>422</v>
      </c>
      <c r="E96" s="10" t="s">
        <v>36</v>
      </c>
      <c r="F96" s="10" t="s">
        <v>1859</v>
      </c>
      <c r="G96" s="18">
        <f>919403888650</f>
        <v>919403888650</v>
      </c>
      <c r="H96" s="18">
        <f>919373777800</f>
        <v>919373777800</v>
      </c>
      <c r="I96" s="10" t="s">
        <v>1767</v>
      </c>
      <c r="J96" s="10" t="s">
        <v>1868</v>
      </c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>
      <c r="A97" s="10" t="s">
        <v>107</v>
      </c>
      <c r="B97" s="16">
        <v>43285</v>
      </c>
      <c r="C97" s="10" t="s">
        <v>727</v>
      </c>
      <c r="D97" s="10" t="s">
        <v>422</v>
      </c>
      <c r="E97" s="10" t="s">
        <v>627</v>
      </c>
      <c r="F97" s="10" t="s">
        <v>1875</v>
      </c>
      <c r="G97" s="18">
        <f t="shared" ref="G97:G98" si="7">918600187746</f>
        <v>918600187746</v>
      </c>
      <c r="H97" s="18">
        <f t="shared" ref="H97:H98" si="8">919860027777</f>
        <v>919860027777</v>
      </c>
      <c r="I97" s="10" t="s">
        <v>131</v>
      </c>
      <c r="J97" s="10" t="s">
        <v>592</v>
      </c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>
      <c r="A98" s="10" t="s">
        <v>107</v>
      </c>
      <c r="B98" s="16">
        <v>42444</v>
      </c>
      <c r="C98" s="10" t="s">
        <v>626</v>
      </c>
      <c r="D98" s="10" t="s">
        <v>422</v>
      </c>
      <c r="E98" s="10" t="s">
        <v>627</v>
      </c>
      <c r="F98" s="10" t="s">
        <v>1875</v>
      </c>
      <c r="G98" s="18">
        <f t="shared" si="7"/>
        <v>918600187746</v>
      </c>
      <c r="H98" s="18">
        <f t="shared" si="8"/>
        <v>919860027777</v>
      </c>
      <c r="I98" s="10" t="s">
        <v>131</v>
      </c>
      <c r="J98" s="10" t="s">
        <v>592</v>
      </c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>
      <c r="A99" s="10" t="s">
        <v>107</v>
      </c>
      <c r="B99" s="16">
        <v>42795</v>
      </c>
      <c r="C99" s="10" t="s">
        <v>701</v>
      </c>
      <c r="D99" s="10" t="s">
        <v>422</v>
      </c>
      <c r="E99" s="10" t="s">
        <v>36</v>
      </c>
      <c r="F99" s="10" t="s">
        <v>1905</v>
      </c>
      <c r="G99" s="18">
        <f>919765490297</f>
        <v>919765490297</v>
      </c>
      <c r="H99" s="18">
        <f>919822266447</f>
        <v>919822266447</v>
      </c>
      <c r="I99" s="10" t="s">
        <v>131</v>
      </c>
      <c r="J99" s="10" t="s">
        <v>592</v>
      </c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>
      <c r="A100" s="10" t="s">
        <v>107</v>
      </c>
      <c r="B100" s="16">
        <v>41466</v>
      </c>
      <c r="C100" s="10" t="s">
        <v>644</v>
      </c>
      <c r="D100" s="10" t="s">
        <v>422</v>
      </c>
      <c r="E100" s="10" t="s">
        <v>627</v>
      </c>
      <c r="F100" s="10" t="s">
        <v>1927</v>
      </c>
      <c r="G100" s="18">
        <f>919923409330</f>
        <v>919923409330</v>
      </c>
      <c r="H100" s="18">
        <f>918390821886</f>
        <v>918390821886</v>
      </c>
      <c r="I100" s="10" t="s">
        <v>310</v>
      </c>
      <c r="J100" s="10" t="s">
        <v>592</v>
      </c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>
      <c r="A101" s="10" t="s">
        <v>107</v>
      </c>
      <c r="B101" s="16">
        <v>42254</v>
      </c>
      <c r="C101" s="10" t="s">
        <v>671</v>
      </c>
      <c r="D101" s="10" t="s">
        <v>422</v>
      </c>
      <c r="E101" s="10" t="s">
        <v>36</v>
      </c>
      <c r="F101" s="10" t="s">
        <v>1940</v>
      </c>
      <c r="G101" s="18">
        <f>919967284074</f>
        <v>919967284074</v>
      </c>
      <c r="H101" s="18">
        <f>917715810591</f>
        <v>917715810591</v>
      </c>
      <c r="I101" s="10" t="s">
        <v>170</v>
      </c>
      <c r="J101" s="10" t="s">
        <v>354</v>
      </c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>
      <c r="A102" s="10" t="s">
        <v>107</v>
      </c>
      <c r="B102" s="16">
        <v>42236</v>
      </c>
      <c r="C102" s="10" t="s">
        <v>150</v>
      </c>
      <c r="D102" s="10" t="s">
        <v>422</v>
      </c>
      <c r="E102" s="10" t="s">
        <v>45</v>
      </c>
      <c r="F102" s="10" t="s">
        <v>1950</v>
      </c>
      <c r="G102" s="18">
        <f>919856666075</f>
        <v>919856666075</v>
      </c>
      <c r="H102" s="18">
        <f>919362270644</f>
        <v>919362270644</v>
      </c>
      <c r="I102" s="10" t="s">
        <v>170</v>
      </c>
      <c r="J102" s="10" t="s">
        <v>1951</v>
      </c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>
      <c r="A103" s="10" t="s">
        <v>107</v>
      </c>
      <c r="B103" s="16">
        <v>41975</v>
      </c>
      <c r="C103" s="10" t="s">
        <v>110</v>
      </c>
      <c r="D103" s="10" t="s">
        <v>422</v>
      </c>
      <c r="E103" s="10" t="s">
        <v>45</v>
      </c>
      <c r="F103" s="10" t="s">
        <v>135</v>
      </c>
      <c r="G103" s="18">
        <f>917085791725</f>
        <v>917085791725</v>
      </c>
      <c r="H103" s="18">
        <f>919383277133</f>
        <v>919383277133</v>
      </c>
      <c r="I103" s="10" t="s">
        <v>170</v>
      </c>
      <c r="J103" s="10" t="s">
        <v>1951</v>
      </c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>
      <c r="A104" s="10" t="s">
        <v>107</v>
      </c>
      <c r="B104" s="16">
        <v>42311</v>
      </c>
      <c r="C104" s="10" t="s">
        <v>718</v>
      </c>
      <c r="D104" s="10" t="s">
        <v>422</v>
      </c>
      <c r="E104" s="10" t="s">
        <v>155</v>
      </c>
      <c r="F104" s="10" t="s">
        <v>1952</v>
      </c>
      <c r="G104" s="18">
        <f>917299982288</f>
        <v>917299982288</v>
      </c>
      <c r="H104" s="18">
        <f>917299972288</f>
        <v>917299972288</v>
      </c>
      <c r="I104" s="10" t="s">
        <v>1767</v>
      </c>
      <c r="J104" s="10" t="s">
        <v>354</v>
      </c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>
      <c r="A105" s="10" t="s">
        <v>107</v>
      </c>
      <c r="B105" s="16">
        <v>43279</v>
      </c>
      <c r="C105" s="10" t="s">
        <v>682</v>
      </c>
      <c r="D105" s="10" t="s">
        <v>422</v>
      </c>
      <c r="E105" s="10" t="s">
        <v>36</v>
      </c>
      <c r="F105" s="10" t="s">
        <v>1953</v>
      </c>
      <c r="G105" s="18">
        <f>917757044997</f>
        <v>917757044997</v>
      </c>
      <c r="H105" s="18">
        <f>917972402202</f>
        <v>917972402202</v>
      </c>
      <c r="I105" s="10" t="s">
        <v>131</v>
      </c>
      <c r="J105" s="10" t="s">
        <v>354</v>
      </c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>
      <c r="A106" s="10" t="s">
        <v>107</v>
      </c>
      <c r="B106" s="16">
        <v>42061</v>
      </c>
      <c r="C106" s="10" t="s">
        <v>738</v>
      </c>
      <c r="D106" s="10" t="s">
        <v>422</v>
      </c>
      <c r="E106" s="10" t="s">
        <v>36</v>
      </c>
      <c r="F106" s="10" t="s">
        <v>1957</v>
      </c>
      <c r="G106" s="18">
        <f>918378094336</f>
        <v>918378094336</v>
      </c>
      <c r="H106" s="18">
        <f>919579304425</f>
        <v>919579304425</v>
      </c>
      <c r="I106" s="10" t="s">
        <v>170</v>
      </c>
      <c r="J106" s="10" t="s">
        <v>1960</v>
      </c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>
      <c r="A107" s="10" t="s">
        <v>107</v>
      </c>
      <c r="B107" s="16">
        <v>42445</v>
      </c>
      <c r="C107" s="10" t="s">
        <v>748</v>
      </c>
      <c r="D107" s="10" t="s">
        <v>422</v>
      </c>
      <c r="E107" s="10" t="s">
        <v>749</v>
      </c>
      <c r="F107" s="10" t="s">
        <v>1961</v>
      </c>
      <c r="G107" s="18">
        <f>918928915353</f>
        <v>918928915353</v>
      </c>
      <c r="H107" s="18">
        <f>919423015353</f>
        <v>919423015353</v>
      </c>
      <c r="I107" s="10" t="s">
        <v>131</v>
      </c>
      <c r="J107" s="10" t="s">
        <v>354</v>
      </c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>
      <c r="A108" s="10" t="s">
        <v>107</v>
      </c>
      <c r="B108" s="16">
        <v>42364</v>
      </c>
      <c r="C108" s="10" t="s">
        <v>1969</v>
      </c>
      <c r="D108" s="10" t="s">
        <v>422</v>
      </c>
      <c r="E108" s="10" t="s">
        <v>1970</v>
      </c>
      <c r="F108" s="10" t="s">
        <v>1971</v>
      </c>
      <c r="G108" s="18">
        <f>97455665285</f>
        <v>97455665285</v>
      </c>
      <c r="H108" s="18">
        <f>919949197167</f>
        <v>919949197167</v>
      </c>
      <c r="I108" s="10" t="s">
        <v>131</v>
      </c>
      <c r="J108" s="10" t="s">
        <v>1976</v>
      </c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>
      <c r="A109" s="10" t="s">
        <v>107</v>
      </c>
      <c r="B109" s="21">
        <v>41414</v>
      </c>
      <c r="C109" s="10" t="s">
        <v>163</v>
      </c>
      <c r="D109" s="10" t="s">
        <v>422</v>
      </c>
      <c r="E109" s="10" t="s">
        <v>36</v>
      </c>
      <c r="F109" s="10" t="s">
        <v>1981</v>
      </c>
      <c r="G109" s="18">
        <f>919156282027</f>
        <v>919156282027</v>
      </c>
      <c r="H109" s="18">
        <f>919403832027</f>
        <v>919403832027</v>
      </c>
      <c r="I109" s="10" t="s">
        <v>131</v>
      </c>
      <c r="J109" s="10" t="s">
        <v>354</v>
      </c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>
      <c r="A110" s="10" t="s">
        <v>107</v>
      </c>
      <c r="B110" s="16">
        <v>42084</v>
      </c>
      <c r="C110" s="10" t="s">
        <v>607</v>
      </c>
      <c r="D110" s="10" t="s">
        <v>422</v>
      </c>
      <c r="E110" s="10" t="s">
        <v>36</v>
      </c>
      <c r="F110" s="10" t="s">
        <v>1994</v>
      </c>
      <c r="G110" s="18">
        <f>919975707061</f>
        <v>919975707061</v>
      </c>
      <c r="H110" s="18">
        <f>919860202196</f>
        <v>919860202196</v>
      </c>
      <c r="I110" s="10" t="s">
        <v>131</v>
      </c>
      <c r="J110" s="10" t="s">
        <v>354</v>
      </c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>
      <c r="A111" s="10" t="s">
        <v>107</v>
      </c>
      <c r="B111" s="16">
        <v>41535</v>
      </c>
      <c r="C111" s="10" t="s">
        <v>587</v>
      </c>
      <c r="D111" s="10" t="s">
        <v>422</v>
      </c>
      <c r="E111" s="10" t="s">
        <v>36</v>
      </c>
      <c r="F111" s="10" t="s">
        <v>2005</v>
      </c>
      <c r="G111" s="18">
        <f>918975758088</f>
        <v>918975758088</v>
      </c>
      <c r="H111" s="18">
        <f>919552706737</f>
        <v>919552706737</v>
      </c>
      <c r="I111" s="10" t="s">
        <v>170</v>
      </c>
      <c r="J111" s="10" t="s">
        <v>2011</v>
      </c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>
      <c r="A112" s="33" t="s">
        <v>107</v>
      </c>
      <c r="B112" s="46">
        <v>42554</v>
      </c>
      <c r="C112" s="33" t="s">
        <v>691</v>
      </c>
      <c r="D112" s="33" t="s">
        <v>422</v>
      </c>
      <c r="E112" s="33" t="s">
        <v>36</v>
      </c>
      <c r="F112" s="34"/>
      <c r="G112" s="34"/>
      <c r="H112" s="34"/>
      <c r="I112" s="34"/>
      <c r="J112" s="34"/>
      <c r="K112" s="33" t="s">
        <v>2021</v>
      </c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spans="1:28">
      <c r="A113" s="10" t="s">
        <v>107</v>
      </c>
      <c r="B113" s="16">
        <v>42902</v>
      </c>
      <c r="C113" s="10" t="s">
        <v>709</v>
      </c>
      <c r="D113" s="36" t="s">
        <v>2027</v>
      </c>
      <c r="E113" s="10" t="s">
        <v>36</v>
      </c>
      <c r="F113" s="10" t="s">
        <v>2028</v>
      </c>
      <c r="G113" s="18">
        <f>919881229394</f>
        <v>919881229394</v>
      </c>
      <c r="H113" s="18">
        <f>919545823596</f>
        <v>919545823596</v>
      </c>
      <c r="I113" s="10" t="s">
        <v>131</v>
      </c>
      <c r="J113" s="10" t="s">
        <v>354</v>
      </c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>
      <c r="A114" s="33" t="s">
        <v>107</v>
      </c>
      <c r="B114" s="46">
        <v>42224</v>
      </c>
      <c r="C114" s="33" t="s">
        <v>896</v>
      </c>
      <c r="D114" s="33" t="s">
        <v>89</v>
      </c>
      <c r="E114" s="33" t="s">
        <v>36</v>
      </c>
      <c r="F114" s="34"/>
      <c r="G114" s="34"/>
      <c r="H114" s="34"/>
      <c r="I114" s="34"/>
      <c r="J114" s="34"/>
      <c r="K114" s="33" t="s">
        <v>2021</v>
      </c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spans="1:28">
      <c r="A115" s="10" t="s">
        <v>107</v>
      </c>
      <c r="B115" s="16">
        <v>41969</v>
      </c>
      <c r="C115" s="10" t="s">
        <v>1003</v>
      </c>
      <c r="D115" s="10" t="s">
        <v>89</v>
      </c>
      <c r="E115" s="10" t="s">
        <v>155</v>
      </c>
      <c r="F115" s="10" t="s">
        <v>1697</v>
      </c>
      <c r="G115" s="18">
        <f>919841144490</f>
        <v>919841144490</v>
      </c>
      <c r="H115" s="18">
        <f>918248402288</f>
        <v>918248402288</v>
      </c>
      <c r="I115" s="10" t="s">
        <v>170</v>
      </c>
      <c r="J115" s="10" t="s">
        <v>354</v>
      </c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>
      <c r="A116" s="10" t="s">
        <v>107</v>
      </c>
      <c r="B116" s="16">
        <v>41449</v>
      </c>
      <c r="C116" s="10" t="s">
        <v>934</v>
      </c>
      <c r="D116" s="36" t="s">
        <v>89</v>
      </c>
      <c r="E116" s="10" t="s">
        <v>36</v>
      </c>
      <c r="F116" s="10" t="s">
        <v>2057</v>
      </c>
      <c r="G116" s="18">
        <f>919970370917</f>
        <v>919970370917</v>
      </c>
      <c r="H116" s="18">
        <f>918600094447</f>
        <v>918600094447</v>
      </c>
      <c r="I116" s="10" t="s">
        <v>131</v>
      </c>
      <c r="J116" s="10" t="s">
        <v>354</v>
      </c>
      <c r="K116" s="7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>
      <c r="A117" s="10" t="s">
        <v>107</v>
      </c>
      <c r="B117" s="16">
        <v>41526</v>
      </c>
      <c r="C117" s="10" t="s">
        <v>988</v>
      </c>
      <c r="D117" s="10" t="s">
        <v>89</v>
      </c>
      <c r="E117" s="10" t="s">
        <v>155</v>
      </c>
      <c r="F117" s="10" t="s">
        <v>2065</v>
      </c>
      <c r="G117" s="18">
        <f>919884504398</f>
        <v>919884504398</v>
      </c>
      <c r="H117" s="18">
        <f>919176456675</f>
        <v>919176456675</v>
      </c>
      <c r="I117" s="10" t="s">
        <v>1767</v>
      </c>
      <c r="J117" s="10" t="s">
        <v>2071</v>
      </c>
      <c r="K117" s="7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>
      <c r="A118" s="10" t="s">
        <v>107</v>
      </c>
      <c r="B118" s="16">
        <v>42160</v>
      </c>
      <c r="C118" s="10" t="s">
        <v>2072</v>
      </c>
      <c r="D118" s="10" t="s">
        <v>89</v>
      </c>
      <c r="E118" s="10" t="s">
        <v>54</v>
      </c>
      <c r="F118" s="10" t="s">
        <v>2076</v>
      </c>
      <c r="G118" s="18">
        <f>919620876848</f>
        <v>919620876848</v>
      </c>
      <c r="H118" s="18">
        <f>919620875626</f>
        <v>919620875626</v>
      </c>
      <c r="I118" s="10" t="s">
        <v>170</v>
      </c>
      <c r="J118" s="10" t="s">
        <v>1976</v>
      </c>
      <c r="K118" s="7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>
      <c r="A119" s="10" t="s">
        <v>107</v>
      </c>
      <c r="B119" s="16">
        <v>41550</v>
      </c>
      <c r="C119" s="10" t="s">
        <v>805</v>
      </c>
      <c r="D119" s="10" t="s">
        <v>89</v>
      </c>
      <c r="E119" s="10" t="s">
        <v>93</v>
      </c>
      <c r="F119" s="10" t="s">
        <v>2093</v>
      </c>
      <c r="G119" s="18">
        <f>919952954797</f>
        <v>919952954797</v>
      </c>
      <c r="H119" s="18">
        <f>919976110711</f>
        <v>919976110711</v>
      </c>
      <c r="I119" s="10" t="s">
        <v>1767</v>
      </c>
      <c r="J119" s="10" t="s">
        <v>678</v>
      </c>
      <c r="K119" s="7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>
      <c r="A120" s="10" t="s">
        <v>107</v>
      </c>
      <c r="B120" s="16">
        <v>42660</v>
      </c>
      <c r="C120" s="10" t="s">
        <v>980</v>
      </c>
      <c r="D120" s="10" t="s">
        <v>89</v>
      </c>
      <c r="E120" s="10" t="s">
        <v>72</v>
      </c>
      <c r="F120" s="10" t="s">
        <v>1815</v>
      </c>
      <c r="G120" s="18">
        <f>919844556586</f>
        <v>919844556586</v>
      </c>
      <c r="H120" s="18">
        <f>919448190925</f>
        <v>919448190925</v>
      </c>
      <c r="I120" s="10" t="s">
        <v>131</v>
      </c>
      <c r="J120" s="10" t="s">
        <v>678</v>
      </c>
      <c r="K120" s="7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>
      <c r="A121" s="10" t="s">
        <v>107</v>
      </c>
      <c r="B121" s="16">
        <v>42935</v>
      </c>
      <c r="C121" s="10" t="s">
        <v>2103</v>
      </c>
      <c r="D121" s="10" t="s">
        <v>89</v>
      </c>
      <c r="E121" s="10" t="s">
        <v>36</v>
      </c>
      <c r="F121" s="10" t="s">
        <v>2104</v>
      </c>
      <c r="G121" s="18">
        <f>918888856427</f>
        <v>918888856427</v>
      </c>
      <c r="H121" s="18">
        <f>919860211299</f>
        <v>919860211299</v>
      </c>
      <c r="I121" s="10" t="s">
        <v>1767</v>
      </c>
      <c r="J121" s="10" t="s">
        <v>312</v>
      </c>
      <c r="K121" s="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>
      <c r="A122" s="10" t="s">
        <v>107</v>
      </c>
      <c r="B122" s="16">
        <v>41277</v>
      </c>
      <c r="C122" s="10" t="s">
        <v>874</v>
      </c>
      <c r="D122" s="10" t="s">
        <v>89</v>
      </c>
      <c r="E122" s="10" t="s">
        <v>36</v>
      </c>
      <c r="F122" s="10" t="s">
        <v>2113</v>
      </c>
      <c r="G122" s="18">
        <f>917798866598</f>
        <v>917798866598</v>
      </c>
      <c r="H122" s="18">
        <f>919322057559</f>
        <v>919322057559</v>
      </c>
      <c r="I122" s="10" t="s">
        <v>1767</v>
      </c>
      <c r="J122" s="10" t="s">
        <v>354</v>
      </c>
      <c r="K122" s="7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>
      <c r="A123" s="10" t="s">
        <v>107</v>
      </c>
      <c r="B123" s="16">
        <v>42940</v>
      </c>
      <c r="C123" s="10" t="s">
        <v>926</v>
      </c>
      <c r="D123" s="10" t="s">
        <v>89</v>
      </c>
      <c r="E123" s="10" t="s">
        <v>624</v>
      </c>
      <c r="F123" s="10" t="s">
        <v>2129</v>
      </c>
      <c r="G123" s="18">
        <f>919830523391</f>
        <v>919830523391</v>
      </c>
      <c r="H123" s="18">
        <f>919836671290</f>
        <v>919836671290</v>
      </c>
      <c r="I123" s="10" t="s">
        <v>1767</v>
      </c>
      <c r="J123" s="10" t="s">
        <v>592</v>
      </c>
      <c r="K123" s="7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>
      <c r="A124" s="10" t="s">
        <v>107</v>
      </c>
      <c r="B124" s="16">
        <v>41554</v>
      </c>
      <c r="C124" s="10" t="s">
        <v>884</v>
      </c>
      <c r="D124" s="10" t="s">
        <v>89</v>
      </c>
      <c r="E124" s="10" t="s">
        <v>36</v>
      </c>
      <c r="F124" s="10" t="s">
        <v>2147</v>
      </c>
      <c r="G124" s="18">
        <f>919503548988</f>
        <v>919503548988</v>
      </c>
      <c r="H124" s="18">
        <f>919423220881</f>
        <v>919423220881</v>
      </c>
      <c r="I124" s="10" t="s">
        <v>170</v>
      </c>
      <c r="J124" s="10" t="s">
        <v>1976</v>
      </c>
      <c r="K124" s="7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>
      <c r="A125" s="10" t="s">
        <v>107</v>
      </c>
      <c r="B125" s="16">
        <v>43378</v>
      </c>
      <c r="C125" s="10" t="s">
        <v>971</v>
      </c>
      <c r="D125" s="10" t="s">
        <v>89</v>
      </c>
      <c r="E125" s="10" t="s">
        <v>72</v>
      </c>
      <c r="F125" s="10" t="s">
        <v>2162</v>
      </c>
      <c r="G125" s="18">
        <f>919606256652</f>
        <v>919606256652</v>
      </c>
      <c r="H125" s="18">
        <f>919844556586</f>
        <v>919844556586</v>
      </c>
      <c r="I125" s="10" t="s">
        <v>1767</v>
      </c>
      <c r="J125" s="10" t="s">
        <v>678</v>
      </c>
      <c r="K125" s="7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>
      <c r="A126" s="10" t="s">
        <v>107</v>
      </c>
      <c r="B126" s="16">
        <v>43347</v>
      </c>
      <c r="C126" s="10" t="s">
        <v>1012</v>
      </c>
      <c r="D126" s="10" t="s">
        <v>89</v>
      </c>
      <c r="E126" s="10" t="s">
        <v>36</v>
      </c>
      <c r="F126" s="10" t="s">
        <v>2174</v>
      </c>
      <c r="G126" s="18">
        <f>919096833089</f>
        <v>919096833089</v>
      </c>
      <c r="H126" s="18">
        <f>918805452566</f>
        <v>918805452566</v>
      </c>
      <c r="I126" s="10" t="s">
        <v>1767</v>
      </c>
      <c r="J126" s="10" t="s">
        <v>678</v>
      </c>
      <c r="K126" s="7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>
      <c r="A127" s="10" t="s">
        <v>107</v>
      </c>
      <c r="B127" s="16">
        <v>41929</v>
      </c>
      <c r="C127" s="10" t="s">
        <v>864</v>
      </c>
      <c r="D127" s="10" t="s">
        <v>89</v>
      </c>
      <c r="E127" s="10" t="s">
        <v>36</v>
      </c>
      <c r="F127" s="10" t="s">
        <v>1905</v>
      </c>
      <c r="G127" s="18">
        <f>919765490297</f>
        <v>919765490297</v>
      </c>
      <c r="H127" s="18">
        <f>919822266447</f>
        <v>919822266447</v>
      </c>
      <c r="I127" s="10" t="s">
        <v>131</v>
      </c>
      <c r="J127" s="10" t="s">
        <v>592</v>
      </c>
      <c r="K127" s="7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>
      <c r="A128" s="10" t="s">
        <v>107</v>
      </c>
      <c r="B128" s="16">
        <v>41306</v>
      </c>
      <c r="C128" s="10" t="s">
        <v>223</v>
      </c>
      <c r="D128" s="10" t="s">
        <v>89</v>
      </c>
      <c r="E128" s="10" t="s">
        <v>45</v>
      </c>
      <c r="F128" s="10" t="s">
        <v>2205</v>
      </c>
      <c r="G128" s="18">
        <f>918729943178</f>
        <v>918729943178</v>
      </c>
      <c r="H128" s="18">
        <f>918731905143</f>
        <v>918731905143</v>
      </c>
      <c r="I128" s="10" t="s">
        <v>170</v>
      </c>
      <c r="J128" s="10" t="s">
        <v>1951</v>
      </c>
      <c r="K128" s="7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>
      <c r="A129" s="10" t="s">
        <v>107</v>
      </c>
      <c r="B129" s="16">
        <v>41426</v>
      </c>
      <c r="C129" s="10" t="s">
        <v>234</v>
      </c>
      <c r="D129" s="10" t="s">
        <v>89</v>
      </c>
      <c r="E129" s="10" t="s">
        <v>45</v>
      </c>
      <c r="F129" s="10" t="s">
        <v>2216</v>
      </c>
      <c r="G129" s="18">
        <f>919862760159</f>
        <v>919862760159</v>
      </c>
      <c r="H129" s="18">
        <f>918974576953</f>
        <v>918974576953</v>
      </c>
      <c r="I129" s="10" t="s">
        <v>170</v>
      </c>
      <c r="J129" s="10" t="s">
        <v>1951</v>
      </c>
      <c r="K129" s="7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>
      <c r="A130" s="10" t="s">
        <v>107</v>
      </c>
      <c r="B130" s="16">
        <v>42312</v>
      </c>
      <c r="C130" s="10" t="s">
        <v>958</v>
      </c>
      <c r="D130" s="10" t="s">
        <v>89</v>
      </c>
      <c r="E130" s="10" t="s">
        <v>36</v>
      </c>
      <c r="F130" s="10" t="s">
        <v>2227</v>
      </c>
      <c r="G130" s="18">
        <f>918080826952</f>
        <v>918080826952</v>
      </c>
      <c r="H130" s="18">
        <f>919529538522</f>
        <v>919529538522</v>
      </c>
      <c r="I130" s="10" t="s">
        <v>310</v>
      </c>
      <c r="J130" s="10" t="s">
        <v>2240</v>
      </c>
      <c r="K130" s="7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>
      <c r="A131" s="10" t="s">
        <v>107</v>
      </c>
      <c r="B131" s="16">
        <v>42538</v>
      </c>
      <c r="C131" s="10" t="s">
        <v>855</v>
      </c>
      <c r="D131" s="10" t="s">
        <v>89</v>
      </c>
      <c r="E131" s="10" t="s">
        <v>36</v>
      </c>
      <c r="F131" s="10" t="s">
        <v>2246</v>
      </c>
      <c r="G131" s="18">
        <f>919970944642</f>
        <v>919970944642</v>
      </c>
      <c r="H131" s="18">
        <f>917028012345</f>
        <v>917028012345</v>
      </c>
      <c r="I131" s="10" t="s">
        <v>170</v>
      </c>
      <c r="J131" s="10" t="s">
        <v>592</v>
      </c>
      <c r="K131" s="7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>
      <c r="A132" s="10" t="s">
        <v>107</v>
      </c>
      <c r="B132" s="21">
        <v>41410</v>
      </c>
      <c r="C132" s="10" t="s">
        <v>203</v>
      </c>
      <c r="D132" s="10" t="s">
        <v>89</v>
      </c>
      <c r="E132" s="10" t="s">
        <v>36</v>
      </c>
      <c r="F132" s="10" t="s">
        <v>211</v>
      </c>
      <c r="G132" s="18">
        <f>918208016633</f>
        <v>918208016633</v>
      </c>
      <c r="H132" s="18">
        <f>919145052013</f>
        <v>919145052013</v>
      </c>
      <c r="I132" s="10" t="s">
        <v>170</v>
      </c>
      <c r="J132" s="10" t="s">
        <v>354</v>
      </c>
      <c r="K132" s="7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>
      <c r="A133" s="10" t="s">
        <v>107</v>
      </c>
      <c r="B133" s="16">
        <v>42547</v>
      </c>
      <c r="C133" s="10" t="s">
        <v>947</v>
      </c>
      <c r="D133" s="10" t="s">
        <v>89</v>
      </c>
      <c r="E133" s="10" t="s">
        <v>36</v>
      </c>
      <c r="F133" s="10" t="s">
        <v>2279</v>
      </c>
      <c r="G133" s="18">
        <f>919762301922</f>
        <v>919762301922</v>
      </c>
      <c r="H133" s="18">
        <f>917758901474</f>
        <v>917758901474</v>
      </c>
      <c r="I133" s="10" t="s">
        <v>170</v>
      </c>
      <c r="J133" s="10" t="s">
        <v>592</v>
      </c>
      <c r="K133" s="7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>
      <c r="A134" s="10" t="s">
        <v>107</v>
      </c>
      <c r="B134" s="16">
        <v>42366</v>
      </c>
      <c r="C134" s="10" t="s">
        <v>904</v>
      </c>
      <c r="D134" s="10" t="s">
        <v>89</v>
      </c>
      <c r="E134" s="10" t="s">
        <v>36</v>
      </c>
      <c r="F134" s="10" t="s">
        <v>2298</v>
      </c>
      <c r="G134" s="18">
        <f>919769130050</f>
        <v>919769130050</v>
      </c>
      <c r="H134" s="18">
        <f>919833808324</f>
        <v>919833808324</v>
      </c>
      <c r="I134" s="10" t="s">
        <v>1767</v>
      </c>
      <c r="J134" s="10" t="s">
        <v>678</v>
      </c>
      <c r="K134" s="7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>
      <c r="A135" s="10" t="s">
        <v>107</v>
      </c>
      <c r="B135" s="16">
        <v>41428</v>
      </c>
      <c r="C135" s="10" t="s">
        <v>815</v>
      </c>
      <c r="D135" s="10" t="s">
        <v>89</v>
      </c>
      <c r="E135" s="10" t="s">
        <v>36</v>
      </c>
      <c r="F135" s="10" t="s">
        <v>2312</v>
      </c>
      <c r="G135" s="18">
        <f>919960690329</f>
        <v>919960690329</v>
      </c>
      <c r="H135" s="18">
        <f>918380068562</f>
        <v>918380068562</v>
      </c>
      <c r="I135" s="10" t="s">
        <v>170</v>
      </c>
      <c r="J135" s="10" t="s">
        <v>592</v>
      </c>
      <c r="K135" s="7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>
      <c r="A136" s="10" t="s">
        <v>107</v>
      </c>
      <c r="B136" s="21">
        <v>42141</v>
      </c>
      <c r="C136" s="10" t="s">
        <v>834</v>
      </c>
      <c r="D136" s="10" t="s">
        <v>89</v>
      </c>
      <c r="E136" s="10" t="s">
        <v>36</v>
      </c>
      <c r="F136" s="10" t="s">
        <v>2333</v>
      </c>
      <c r="G136" s="18">
        <f>919637843383</f>
        <v>919637843383</v>
      </c>
      <c r="H136" s="18">
        <f>918698988306</f>
        <v>918698988306</v>
      </c>
      <c r="I136" s="10" t="s">
        <v>131</v>
      </c>
      <c r="J136" s="10" t="s">
        <v>2344</v>
      </c>
      <c r="K136" s="7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>
      <c r="A137" s="10" t="s">
        <v>107</v>
      </c>
      <c r="B137" s="16">
        <v>42118</v>
      </c>
      <c r="C137" s="10" t="s">
        <v>848</v>
      </c>
      <c r="D137" s="10" t="s">
        <v>89</v>
      </c>
      <c r="E137" s="10" t="s">
        <v>36</v>
      </c>
      <c r="F137" s="10" t="s">
        <v>2349</v>
      </c>
      <c r="G137" s="18">
        <f>919145208625</f>
        <v>919145208625</v>
      </c>
      <c r="H137" s="18">
        <f>918888815858</f>
        <v>918888815858</v>
      </c>
      <c r="I137" s="10" t="s">
        <v>1767</v>
      </c>
      <c r="J137" s="10" t="s">
        <v>354</v>
      </c>
      <c r="K137" s="7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>
      <c r="A138" s="10" t="s">
        <v>107</v>
      </c>
      <c r="B138" s="16">
        <v>41692</v>
      </c>
      <c r="C138" s="10" t="s">
        <v>827</v>
      </c>
      <c r="D138" s="10" t="s">
        <v>89</v>
      </c>
      <c r="E138" s="10" t="s">
        <v>275</v>
      </c>
      <c r="F138" s="10" t="s">
        <v>2365</v>
      </c>
      <c r="G138" s="18">
        <f>916397026473</f>
        <v>916397026473</v>
      </c>
      <c r="H138" s="18">
        <f>916397266597</f>
        <v>916397266597</v>
      </c>
      <c r="I138" s="10" t="s">
        <v>131</v>
      </c>
      <c r="J138" s="10" t="s">
        <v>2376</v>
      </c>
      <c r="K138" s="7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>
      <c r="A139" s="49" t="s">
        <v>107</v>
      </c>
      <c r="B139" s="49" t="s">
        <v>2385</v>
      </c>
      <c r="C139" s="49" t="s">
        <v>2386</v>
      </c>
      <c r="D139" s="49" t="s">
        <v>89</v>
      </c>
      <c r="E139" s="49" t="s">
        <v>1752</v>
      </c>
      <c r="F139" s="50"/>
      <c r="G139" s="50"/>
      <c r="H139" s="50"/>
      <c r="I139" s="50"/>
      <c r="J139" s="50"/>
      <c r="K139" s="50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spans="1:28">
      <c r="A140" s="83" t="s">
        <v>2399</v>
      </c>
      <c r="B140" s="80"/>
      <c r="C140" s="80"/>
      <c r="D140" s="80"/>
      <c r="E140" s="81"/>
      <c r="F140" s="14"/>
      <c r="G140" s="14"/>
      <c r="H140" s="14"/>
      <c r="I140" s="14"/>
      <c r="J140" s="14"/>
      <c r="K140" s="14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>
      <c r="A141" s="41" t="s">
        <v>3</v>
      </c>
      <c r="B141" s="41" t="s">
        <v>2</v>
      </c>
      <c r="C141" s="41" t="s">
        <v>0</v>
      </c>
      <c r="D141" s="41" t="s">
        <v>4</v>
      </c>
      <c r="E141" s="41" t="s">
        <v>5</v>
      </c>
      <c r="F141" s="2" t="s">
        <v>6</v>
      </c>
      <c r="G141" s="2" t="s">
        <v>1684</v>
      </c>
      <c r="H141" s="2" t="s">
        <v>1685</v>
      </c>
      <c r="I141" s="2" t="s">
        <v>1687</v>
      </c>
      <c r="J141" s="2" t="s">
        <v>1690</v>
      </c>
      <c r="K141" s="7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>
      <c r="A142" s="52" t="s">
        <v>2425</v>
      </c>
      <c r="B142" s="53">
        <v>41160</v>
      </c>
      <c r="C142" s="52" t="s">
        <v>1621</v>
      </c>
      <c r="D142" s="52" t="s">
        <v>422</v>
      </c>
      <c r="E142" s="52" t="s">
        <v>1622</v>
      </c>
      <c r="F142" s="52" t="s">
        <v>2437</v>
      </c>
      <c r="G142" s="54">
        <f>919790797814</f>
        <v>919790797814</v>
      </c>
      <c r="H142" s="54">
        <f>919940012235</f>
        <v>919940012235</v>
      </c>
      <c r="I142" s="52" t="s">
        <v>131</v>
      </c>
      <c r="J142" s="55"/>
      <c r="K142" s="7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>
      <c r="A143" s="56" t="s">
        <v>2425</v>
      </c>
      <c r="B143" s="16">
        <v>41163</v>
      </c>
      <c r="C143" s="56" t="s">
        <v>1575</v>
      </c>
      <c r="D143" s="56" t="s">
        <v>422</v>
      </c>
      <c r="E143" s="56" t="s">
        <v>36</v>
      </c>
      <c r="F143" s="14"/>
      <c r="G143" s="14"/>
      <c r="H143" s="14"/>
      <c r="I143" s="14"/>
      <c r="J143" s="14"/>
      <c r="K143" s="14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>
      <c r="A144" s="10" t="s">
        <v>2425</v>
      </c>
      <c r="B144" s="16">
        <v>40697</v>
      </c>
      <c r="C144" s="10" t="s">
        <v>2468</v>
      </c>
      <c r="D144" s="10" t="s">
        <v>422</v>
      </c>
      <c r="E144" s="10" t="s">
        <v>72</v>
      </c>
      <c r="F144" s="10" t="s">
        <v>2471</v>
      </c>
      <c r="G144" s="18">
        <f>919035144616</f>
        <v>919035144616</v>
      </c>
      <c r="H144" s="18">
        <f>919900031675</f>
        <v>919900031675</v>
      </c>
      <c r="I144" s="10" t="s">
        <v>1767</v>
      </c>
      <c r="J144" s="10" t="s">
        <v>678</v>
      </c>
      <c r="K144" s="7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>
      <c r="A145" s="10" t="s">
        <v>2425</v>
      </c>
      <c r="B145" s="16">
        <v>41237</v>
      </c>
      <c r="C145" s="10" t="s">
        <v>347</v>
      </c>
      <c r="D145" s="10" t="s">
        <v>422</v>
      </c>
      <c r="E145" s="10" t="s">
        <v>349</v>
      </c>
      <c r="F145" s="10" t="s">
        <v>966</v>
      </c>
      <c r="G145" s="18">
        <f>919629654666</f>
        <v>919629654666</v>
      </c>
      <c r="H145" s="18">
        <f>919003541491</f>
        <v>919003541491</v>
      </c>
      <c r="I145" s="10" t="s">
        <v>170</v>
      </c>
      <c r="J145" s="10" t="s">
        <v>2503</v>
      </c>
      <c r="K145" s="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>
      <c r="A146" s="10" t="s">
        <v>2425</v>
      </c>
      <c r="B146" s="16">
        <v>40662</v>
      </c>
      <c r="C146" s="10" t="s">
        <v>1537</v>
      </c>
      <c r="D146" s="10" t="s">
        <v>422</v>
      </c>
      <c r="E146" s="10" t="s">
        <v>36</v>
      </c>
      <c r="F146" s="10" t="s">
        <v>1597</v>
      </c>
      <c r="G146" s="18">
        <f>918446147092</f>
        <v>918446147092</v>
      </c>
      <c r="H146" s="18">
        <f>919420458515</f>
        <v>919420458515</v>
      </c>
      <c r="I146" s="10" t="s">
        <v>131</v>
      </c>
      <c r="J146" s="10" t="s">
        <v>354</v>
      </c>
      <c r="K146" s="7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>
      <c r="A147" s="10" t="s">
        <v>2425</v>
      </c>
      <c r="B147" s="16">
        <v>41099</v>
      </c>
      <c r="C147" s="10" t="s">
        <v>1630</v>
      </c>
      <c r="D147" s="10" t="s">
        <v>422</v>
      </c>
      <c r="E147" s="10" t="s">
        <v>36</v>
      </c>
      <c r="F147" s="10" t="s">
        <v>2530</v>
      </c>
      <c r="G147" s="18">
        <f>917588541627</f>
        <v>917588541627</v>
      </c>
      <c r="H147" s="18">
        <f>918788423829</f>
        <v>918788423829</v>
      </c>
      <c r="I147" s="10" t="s">
        <v>170</v>
      </c>
      <c r="J147" s="10" t="s">
        <v>354</v>
      </c>
      <c r="K147" s="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>
      <c r="A148" s="52" t="s">
        <v>2425</v>
      </c>
      <c r="B148" s="53">
        <v>41252</v>
      </c>
      <c r="C148" s="52" t="s">
        <v>1606</v>
      </c>
      <c r="D148" s="52" t="s">
        <v>422</v>
      </c>
      <c r="E148" s="52" t="s">
        <v>36</v>
      </c>
      <c r="F148" s="52" t="s">
        <v>2549</v>
      </c>
      <c r="G148" s="54">
        <f>919689909274</f>
        <v>919689909274</v>
      </c>
      <c r="H148" s="54">
        <f>919689909275</f>
        <v>919689909275</v>
      </c>
      <c r="I148" s="52" t="s">
        <v>1767</v>
      </c>
      <c r="J148" s="52" t="s">
        <v>2562</v>
      </c>
      <c r="K148" s="7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>
      <c r="A149" s="10" t="s">
        <v>2425</v>
      </c>
      <c r="B149" s="16">
        <v>40960</v>
      </c>
      <c r="C149" s="10" t="s">
        <v>2568</v>
      </c>
      <c r="D149" s="10" t="s">
        <v>422</v>
      </c>
      <c r="E149" s="10" t="s">
        <v>72</v>
      </c>
      <c r="F149" s="10" t="s">
        <v>2570</v>
      </c>
      <c r="G149" s="18">
        <f>919953290535</f>
        <v>919953290535</v>
      </c>
      <c r="H149" s="18">
        <f>917042328857</f>
        <v>917042328857</v>
      </c>
      <c r="I149" s="10" t="s">
        <v>131</v>
      </c>
      <c r="J149" s="10" t="s">
        <v>592</v>
      </c>
      <c r="K149" s="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>
      <c r="A150" s="10" t="s">
        <v>2425</v>
      </c>
      <c r="B150" s="16">
        <v>40872</v>
      </c>
      <c r="C150" s="10" t="s">
        <v>1596</v>
      </c>
      <c r="D150" s="10" t="s">
        <v>422</v>
      </c>
      <c r="E150" s="10" t="s">
        <v>216</v>
      </c>
      <c r="F150" s="10" t="s">
        <v>2589</v>
      </c>
      <c r="G150" s="18">
        <f>919908899997</f>
        <v>919908899997</v>
      </c>
      <c r="H150" s="18">
        <f>919666900313</f>
        <v>919666900313</v>
      </c>
      <c r="I150" s="10" t="s">
        <v>310</v>
      </c>
      <c r="J150" s="10" t="s">
        <v>2601</v>
      </c>
      <c r="K150" s="7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>
      <c r="A151" s="10" t="s">
        <v>2425</v>
      </c>
      <c r="B151" s="16">
        <v>41100</v>
      </c>
      <c r="C151" s="10" t="s">
        <v>1527</v>
      </c>
      <c r="D151" s="10" t="s">
        <v>422</v>
      </c>
      <c r="E151" s="10" t="s">
        <v>624</v>
      </c>
      <c r="F151" s="10" t="s">
        <v>2607</v>
      </c>
      <c r="G151" s="18">
        <f>919830313253</f>
        <v>919830313253</v>
      </c>
      <c r="H151" s="18">
        <f>919830310253</f>
        <v>919830310253</v>
      </c>
      <c r="I151" s="10" t="s">
        <v>170</v>
      </c>
      <c r="J151" s="10" t="s">
        <v>592</v>
      </c>
      <c r="K151" s="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>
      <c r="A152" s="10" t="s">
        <v>2425</v>
      </c>
      <c r="B152" s="16">
        <v>41205</v>
      </c>
      <c r="C152" s="10" t="s">
        <v>681</v>
      </c>
      <c r="D152" s="10" t="s">
        <v>422</v>
      </c>
      <c r="E152" s="10" t="s">
        <v>36</v>
      </c>
      <c r="F152" s="10" t="s">
        <v>2620</v>
      </c>
      <c r="G152" s="18">
        <f>919552575810</f>
        <v>919552575810</v>
      </c>
      <c r="H152" s="18">
        <f>919552575814</f>
        <v>919552575814</v>
      </c>
      <c r="I152" s="10" t="s">
        <v>131</v>
      </c>
      <c r="J152" s="10" t="s">
        <v>354</v>
      </c>
      <c r="K152" s="7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>
      <c r="A153" s="10" t="s">
        <v>2425</v>
      </c>
      <c r="B153" s="57">
        <v>40701</v>
      </c>
      <c r="C153" s="10" t="s">
        <v>1584</v>
      </c>
      <c r="D153" s="10" t="s">
        <v>422</v>
      </c>
      <c r="E153" s="10" t="s">
        <v>194</v>
      </c>
      <c r="F153" s="10" t="s">
        <v>2643</v>
      </c>
      <c r="G153" s="18">
        <v>9871238185</v>
      </c>
      <c r="H153" s="18">
        <v>9871238185</v>
      </c>
      <c r="I153" s="10" t="s">
        <v>131</v>
      </c>
      <c r="J153" s="10" t="s">
        <v>354</v>
      </c>
      <c r="K153" s="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>
      <c r="A154" s="10" t="s">
        <v>2425</v>
      </c>
      <c r="B154" s="57">
        <v>40878</v>
      </c>
      <c r="C154" s="10" t="s">
        <v>670</v>
      </c>
      <c r="D154" s="10" t="s">
        <v>422</v>
      </c>
      <c r="E154" s="10" t="s">
        <v>36</v>
      </c>
      <c r="F154" s="10" t="s">
        <v>2652</v>
      </c>
      <c r="G154" s="18">
        <v>8080770245</v>
      </c>
      <c r="H154" s="18">
        <v>9271621598</v>
      </c>
      <c r="I154" s="10" t="s">
        <v>170</v>
      </c>
      <c r="J154" s="10" t="s">
        <v>354</v>
      </c>
      <c r="K154" s="7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>
      <c r="A155" s="10" t="s">
        <v>2425</v>
      </c>
      <c r="B155" s="10" t="s">
        <v>2659</v>
      </c>
      <c r="C155" s="10" t="s">
        <v>1565</v>
      </c>
      <c r="D155" s="10" t="s">
        <v>422</v>
      </c>
      <c r="E155" s="10" t="s">
        <v>624</v>
      </c>
      <c r="F155" s="10" t="s">
        <v>2664</v>
      </c>
      <c r="G155" s="18">
        <v>9051336616</v>
      </c>
      <c r="H155" s="18">
        <v>9051336616</v>
      </c>
      <c r="I155" s="10" t="s">
        <v>170</v>
      </c>
      <c r="J155" s="10" t="s">
        <v>354</v>
      </c>
      <c r="K155" s="7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>
      <c r="A156" s="10" t="s">
        <v>2425</v>
      </c>
      <c r="B156" s="57">
        <v>40764</v>
      </c>
      <c r="C156" s="10" t="s">
        <v>1557</v>
      </c>
      <c r="D156" s="10" t="s">
        <v>422</v>
      </c>
      <c r="E156" s="10" t="s">
        <v>72</v>
      </c>
      <c r="F156" s="10" t="s">
        <v>2672</v>
      </c>
      <c r="G156" s="18">
        <v>8105510043</v>
      </c>
      <c r="H156" s="18">
        <v>8105510043</v>
      </c>
      <c r="I156" s="10" t="s">
        <v>131</v>
      </c>
      <c r="J156" s="10" t="s">
        <v>354</v>
      </c>
      <c r="K156" s="7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>
      <c r="A157" s="10" t="s">
        <v>2425</v>
      </c>
      <c r="B157" s="16">
        <v>41186</v>
      </c>
      <c r="C157" s="10" t="s">
        <v>690</v>
      </c>
      <c r="D157" s="10" t="s">
        <v>422</v>
      </c>
      <c r="E157" s="10" t="s">
        <v>257</v>
      </c>
      <c r="F157" s="10" t="s">
        <v>570</v>
      </c>
      <c r="G157" s="18">
        <f>919827716658</f>
        <v>919827716658</v>
      </c>
      <c r="H157" s="18">
        <f>919303106384</f>
        <v>919303106384</v>
      </c>
      <c r="I157" s="10" t="s">
        <v>170</v>
      </c>
      <c r="J157" s="10" t="s">
        <v>678</v>
      </c>
      <c r="K157" s="7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>
      <c r="A158" s="10" t="s">
        <v>2425</v>
      </c>
      <c r="B158" s="21">
        <v>41044</v>
      </c>
      <c r="C158" s="10" t="s">
        <v>1546</v>
      </c>
      <c r="D158" s="36" t="s">
        <v>422</v>
      </c>
      <c r="E158" s="10" t="s">
        <v>26</v>
      </c>
      <c r="F158" s="7"/>
      <c r="G158" s="7"/>
      <c r="H158" s="7"/>
      <c r="I158" s="7"/>
      <c r="J158" s="7"/>
      <c r="K158" s="7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>
      <c r="A159" s="10" t="s">
        <v>2425</v>
      </c>
      <c r="B159" s="16">
        <v>40659</v>
      </c>
      <c r="C159" s="10" t="s">
        <v>1823</v>
      </c>
      <c r="D159" s="10" t="s">
        <v>89</v>
      </c>
      <c r="E159" s="10" t="s">
        <v>1824</v>
      </c>
      <c r="F159" s="10" t="s">
        <v>2693</v>
      </c>
      <c r="G159" s="18">
        <f>919840818684</f>
        <v>919840818684</v>
      </c>
      <c r="H159" s="18">
        <f>919790702998</f>
        <v>919790702998</v>
      </c>
      <c r="I159" s="10" t="s">
        <v>170</v>
      </c>
      <c r="J159" s="10" t="s">
        <v>475</v>
      </c>
      <c r="K159" s="7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>
      <c r="A160" s="10" t="s">
        <v>2425</v>
      </c>
      <c r="B160" s="16">
        <v>41264</v>
      </c>
      <c r="C160" s="10" t="s">
        <v>1937</v>
      </c>
      <c r="D160" s="10" t="s">
        <v>89</v>
      </c>
      <c r="E160" s="10" t="s">
        <v>155</v>
      </c>
      <c r="F160" s="10" t="s">
        <v>2710</v>
      </c>
      <c r="G160" s="18">
        <f>918667679531</f>
        <v>918667679531</v>
      </c>
      <c r="H160" s="18">
        <f>916374087979</f>
        <v>916374087979</v>
      </c>
      <c r="I160" s="10" t="s">
        <v>131</v>
      </c>
      <c r="J160" s="10" t="s">
        <v>354</v>
      </c>
      <c r="K160" s="7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>
      <c r="A161" s="10" t="s">
        <v>2425</v>
      </c>
      <c r="B161" s="16">
        <v>41105</v>
      </c>
      <c r="C161" s="10" t="s">
        <v>1703</v>
      </c>
      <c r="D161" s="10" t="s">
        <v>89</v>
      </c>
      <c r="E161" s="10" t="s">
        <v>26</v>
      </c>
      <c r="F161" s="10" t="s">
        <v>2727</v>
      </c>
      <c r="G161" s="18">
        <f t="shared" ref="G161:H161" si="9">919669855662</f>
        <v>919669855662</v>
      </c>
      <c r="H161" s="18">
        <f t="shared" si="9"/>
        <v>919669855662</v>
      </c>
      <c r="I161" s="10" t="s">
        <v>1767</v>
      </c>
      <c r="J161" s="10" t="s">
        <v>2737</v>
      </c>
      <c r="K161" s="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>
      <c r="A162" s="10" t="s">
        <v>2425</v>
      </c>
      <c r="B162" s="16">
        <v>40913</v>
      </c>
      <c r="C162" s="10" t="s">
        <v>1883</v>
      </c>
      <c r="D162" s="10" t="s">
        <v>89</v>
      </c>
      <c r="E162" s="10" t="s">
        <v>36</v>
      </c>
      <c r="F162" s="10" t="s">
        <v>2743</v>
      </c>
      <c r="G162" s="18">
        <f>919822791867</f>
        <v>919822791867</v>
      </c>
      <c r="H162" s="18">
        <f>919822079698</f>
        <v>919822079698</v>
      </c>
      <c r="I162" s="10" t="s">
        <v>310</v>
      </c>
      <c r="J162" s="10" t="s">
        <v>354</v>
      </c>
      <c r="K162" s="7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>
      <c r="A163" s="10" t="s">
        <v>2425</v>
      </c>
      <c r="B163" s="16">
        <v>40555</v>
      </c>
      <c r="C163" s="10" t="s">
        <v>1912</v>
      </c>
      <c r="D163" s="10" t="s">
        <v>89</v>
      </c>
      <c r="E163" s="10" t="s">
        <v>36</v>
      </c>
      <c r="F163" s="10" t="s">
        <v>1775</v>
      </c>
      <c r="G163" s="18">
        <f>919422318439</f>
        <v>919422318439</v>
      </c>
      <c r="H163" s="18">
        <f>918806009446</f>
        <v>918806009446</v>
      </c>
      <c r="I163" s="10" t="s">
        <v>170</v>
      </c>
      <c r="J163" s="10" t="s">
        <v>1786</v>
      </c>
      <c r="K163" s="7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>
      <c r="A164" s="10" t="s">
        <v>2425</v>
      </c>
      <c r="B164" s="16">
        <v>40557</v>
      </c>
      <c r="C164" s="10" t="s">
        <v>1787</v>
      </c>
      <c r="D164" s="10" t="s">
        <v>89</v>
      </c>
      <c r="E164" s="10" t="s">
        <v>1102</v>
      </c>
      <c r="F164" s="10" t="s">
        <v>1653</v>
      </c>
      <c r="G164" s="18">
        <f>919741027661</f>
        <v>919741027661</v>
      </c>
      <c r="H164" s="18">
        <f>918431266661</f>
        <v>918431266661</v>
      </c>
      <c r="I164" s="10" t="s">
        <v>170</v>
      </c>
      <c r="J164" s="10" t="s">
        <v>678</v>
      </c>
      <c r="K164" s="7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>
      <c r="A165" s="10" t="s">
        <v>2425</v>
      </c>
      <c r="B165" s="16">
        <v>40770</v>
      </c>
      <c r="C165" s="10" t="s">
        <v>1919</v>
      </c>
      <c r="D165" s="10" t="s">
        <v>89</v>
      </c>
      <c r="E165" s="10" t="s">
        <v>1920</v>
      </c>
      <c r="F165" s="10" t="s">
        <v>2787</v>
      </c>
      <c r="G165" s="18">
        <f>917517005771</f>
        <v>917517005771</v>
      </c>
      <c r="H165" s="18">
        <f>917020279629</f>
        <v>917020279629</v>
      </c>
      <c r="I165" s="10" t="s">
        <v>196</v>
      </c>
      <c r="J165" s="10" t="s">
        <v>354</v>
      </c>
      <c r="K165" s="7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>
      <c r="A166" s="10" t="s">
        <v>2425</v>
      </c>
      <c r="B166" s="16">
        <v>41122</v>
      </c>
      <c r="C166" s="10" t="s">
        <v>2799</v>
      </c>
      <c r="D166" s="10" t="s">
        <v>89</v>
      </c>
      <c r="E166" s="10" t="s">
        <v>36</v>
      </c>
      <c r="F166" s="7"/>
      <c r="G166" s="7"/>
      <c r="H166" s="7"/>
      <c r="I166" s="7"/>
      <c r="J166" s="7"/>
      <c r="K166" s="7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>
      <c r="A167" s="10" t="s">
        <v>2425</v>
      </c>
      <c r="B167" s="16">
        <v>40838</v>
      </c>
      <c r="C167" s="10" t="s">
        <v>1904</v>
      </c>
      <c r="D167" s="10" t="s">
        <v>89</v>
      </c>
      <c r="E167" s="10" t="s">
        <v>36</v>
      </c>
      <c r="F167" s="10" t="s">
        <v>1837</v>
      </c>
      <c r="G167" s="18">
        <f>919823048856</f>
        <v>919823048856</v>
      </c>
      <c r="H167" s="18">
        <f>919423869256</f>
        <v>919423869256</v>
      </c>
      <c r="I167" s="10" t="s">
        <v>131</v>
      </c>
      <c r="J167" s="10" t="s">
        <v>592</v>
      </c>
      <c r="K167" s="7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>
      <c r="A168" s="10" t="s">
        <v>2425</v>
      </c>
      <c r="B168" s="16">
        <v>40640</v>
      </c>
      <c r="C168" s="10" t="s">
        <v>1798</v>
      </c>
      <c r="D168" s="10" t="s">
        <v>89</v>
      </c>
      <c r="E168" s="10" t="s">
        <v>36</v>
      </c>
      <c r="F168" s="10" t="s">
        <v>895</v>
      </c>
      <c r="G168" s="18">
        <f t="shared" ref="G168:G170" si="10">919820200679</f>
        <v>919820200679</v>
      </c>
      <c r="H168" s="18">
        <f t="shared" ref="H168:H170" si="11">917977742058</f>
        <v>917977742058</v>
      </c>
      <c r="I168" s="10" t="s">
        <v>170</v>
      </c>
      <c r="J168" s="10" t="s">
        <v>678</v>
      </c>
      <c r="K168" s="7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>
      <c r="A169" s="10" t="s">
        <v>2425</v>
      </c>
      <c r="B169" s="16">
        <v>40957</v>
      </c>
      <c r="C169" s="10" t="s">
        <v>1941</v>
      </c>
      <c r="D169" s="10" t="s">
        <v>89</v>
      </c>
      <c r="E169" s="10" t="s">
        <v>36</v>
      </c>
      <c r="F169" s="10" t="s">
        <v>895</v>
      </c>
      <c r="G169" s="18">
        <f t="shared" si="10"/>
        <v>919820200679</v>
      </c>
      <c r="H169" s="18">
        <f t="shared" si="11"/>
        <v>917977742058</v>
      </c>
      <c r="I169" s="10" t="s">
        <v>170</v>
      </c>
      <c r="J169" s="10" t="s">
        <v>678</v>
      </c>
      <c r="K169" s="7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>
      <c r="A170" s="10" t="s">
        <v>2425</v>
      </c>
      <c r="B170" s="16">
        <v>40961</v>
      </c>
      <c r="C170" s="10" t="s">
        <v>1721</v>
      </c>
      <c r="D170" s="10" t="s">
        <v>89</v>
      </c>
      <c r="E170" s="10" t="s">
        <v>36</v>
      </c>
      <c r="F170" s="10" t="s">
        <v>895</v>
      </c>
      <c r="G170" s="18">
        <f t="shared" si="10"/>
        <v>919820200679</v>
      </c>
      <c r="H170" s="18">
        <f t="shared" si="11"/>
        <v>917977742058</v>
      </c>
      <c r="I170" s="10" t="s">
        <v>170</v>
      </c>
      <c r="J170" s="10" t="s">
        <v>678</v>
      </c>
      <c r="K170" s="7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>
      <c r="A171" s="10" t="s">
        <v>2425</v>
      </c>
      <c r="B171" s="16">
        <v>40617</v>
      </c>
      <c r="C171" s="10" t="s">
        <v>1897</v>
      </c>
      <c r="D171" s="10" t="s">
        <v>89</v>
      </c>
      <c r="E171" s="10" t="s">
        <v>36</v>
      </c>
      <c r="F171" s="10" t="s">
        <v>2859</v>
      </c>
      <c r="G171" s="18">
        <f>919075097141</f>
        <v>919075097141</v>
      </c>
      <c r="H171" s="18">
        <f>919881108920</f>
        <v>919881108920</v>
      </c>
      <c r="I171" s="10" t="s">
        <v>131</v>
      </c>
      <c r="J171" s="10" t="s">
        <v>354</v>
      </c>
      <c r="K171" s="7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>
      <c r="A172" s="10" t="s">
        <v>2425</v>
      </c>
      <c r="B172" s="16">
        <v>40617</v>
      </c>
      <c r="C172" s="10" t="s">
        <v>1713</v>
      </c>
      <c r="D172" s="10" t="s">
        <v>89</v>
      </c>
      <c r="E172" s="10" t="s">
        <v>334</v>
      </c>
      <c r="F172" s="10" t="s">
        <v>2872</v>
      </c>
      <c r="G172" s="18">
        <f>919850313777</f>
        <v>919850313777</v>
      </c>
      <c r="H172" s="18">
        <f>919665144087</f>
        <v>919665144087</v>
      </c>
      <c r="I172" s="10" t="s">
        <v>170</v>
      </c>
      <c r="J172" s="10" t="s">
        <v>354</v>
      </c>
      <c r="K172" s="7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>
      <c r="A173" s="10" t="s">
        <v>2425</v>
      </c>
      <c r="B173" s="16">
        <v>40894</v>
      </c>
      <c r="C173" s="10" t="s">
        <v>1732</v>
      </c>
      <c r="D173" s="10" t="s">
        <v>89</v>
      </c>
      <c r="E173" s="10" t="s">
        <v>26</v>
      </c>
      <c r="F173" s="10" t="s">
        <v>2880</v>
      </c>
      <c r="G173" s="18">
        <f t="shared" ref="G173:H173" si="12">917000236233</f>
        <v>917000236233</v>
      </c>
      <c r="H173" s="18">
        <f t="shared" si="12"/>
        <v>917000236233</v>
      </c>
      <c r="I173" s="10" t="s">
        <v>310</v>
      </c>
      <c r="J173" s="10" t="s">
        <v>354</v>
      </c>
      <c r="K173" s="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>
      <c r="A174" s="10" t="s">
        <v>2425</v>
      </c>
      <c r="B174" s="16">
        <v>41012</v>
      </c>
      <c r="C174" s="10" t="s">
        <v>1852</v>
      </c>
      <c r="D174" s="10" t="s">
        <v>89</v>
      </c>
      <c r="E174" s="10" t="s">
        <v>36</v>
      </c>
      <c r="F174" s="10" t="s">
        <v>2885</v>
      </c>
      <c r="G174" s="18">
        <f>919552194328</f>
        <v>919552194328</v>
      </c>
      <c r="H174" s="18">
        <f>919850677130</f>
        <v>919850677130</v>
      </c>
      <c r="I174" s="10" t="s">
        <v>170</v>
      </c>
      <c r="J174" s="10" t="s">
        <v>2888</v>
      </c>
      <c r="K174" s="7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>
      <c r="A175" s="10" t="s">
        <v>2425</v>
      </c>
      <c r="B175" s="16">
        <v>41243</v>
      </c>
      <c r="C175" s="10" t="s">
        <v>2890</v>
      </c>
      <c r="D175" s="10" t="s">
        <v>89</v>
      </c>
      <c r="E175" s="10" t="s">
        <v>93</v>
      </c>
      <c r="F175" s="10" t="s">
        <v>2891</v>
      </c>
      <c r="G175" s="18">
        <f>919445328352</f>
        <v>919445328352</v>
      </c>
      <c r="H175" s="18">
        <f>919342400290</f>
        <v>919342400290</v>
      </c>
      <c r="I175" s="10" t="s">
        <v>131</v>
      </c>
      <c r="J175" s="10" t="s">
        <v>678</v>
      </c>
      <c r="K175" s="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>
      <c r="A176" s="10" t="s">
        <v>2425</v>
      </c>
      <c r="B176" s="16">
        <v>40762</v>
      </c>
      <c r="C176" s="10" t="s">
        <v>1759</v>
      </c>
      <c r="D176" s="10" t="s">
        <v>89</v>
      </c>
      <c r="E176" s="10" t="s">
        <v>1760</v>
      </c>
      <c r="F176" s="10" t="s">
        <v>2892</v>
      </c>
      <c r="G176" s="18">
        <f>919464041386</f>
        <v>919464041386</v>
      </c>
      <c r="H176" s="18">
        <f>919464291640</f>
        <v>919464291640</v>
      </c>
      <c r="I176" s="10" t="s">
        <v>310</v>
      </c>
      <c r="J176" s="10" t="s">
        <v>1976</v>
      </c>
      <c r="K176" s="7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>
      <c r="A177" s="10" t="s">
        <v>2425</v>
      </c>
      <c r="B177" s="16">
        <v>40588</v>
      </c>
      <c r="C177" s="10" t="s">
        <v>1890</v>
      </c>
      <c r="D177" s="10" t="s">
        <v>89</v>
      </c>
      <c r="E177" s="10" t="s">
        <v>81</v>
      </c>
      <c r="F177" s="10" t="s">
        <v>2893</v>
      </c>
      <c r="G177" s="7"/>
      <c r="H177" s="7"/>
      <c r="I177" s="10" t="s">
        <v>170</v>
      </c>
      <c r="J177" s="10" t="s">
        <v>354</v>
      </c>
      <c r="K177" s="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>
      <c r="A178" s="10" t="s">
        <v>2425</v>
      </c>
      <c r="B178" s="16">
        <v>40946</v>
      </c>
      <c r="C178" s="10" t="s">
        <v>715</v>
      </c>
      <c r="D178" s="10" t="s">
        <v>89</v>
      </c>
      <c r="E178" s="10" t="s">
        <v>45</v>
      </c>
      <c r="F178" s="10" t="s">
        <v>2894</v>
      </c>
      <c r="G178" s="18">
        <f>917005575417</f>
        <v>917005575417</v>
      </c>
      <c r="H178" s="18">
        <f>918794041710</f>
        <v>918794041710</v>
      </c>
      <c r="I178" s="10" t="s">
        <v>170</v>
      </c>
      <c r="J178" s="10" t="s">
        <v>354</v>
      </c>
      <c r="K178" s="7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>
      <c r="A179" s="10" t="s">
        <v>2425</v>
      </c>
      <c r="B179" s="16">
        <v>40617</v>
      </c>
      <c r="C179" s="10" t="s">
        <v>1768</v>
      </c>
      <c r="D179" s="10" t="s">
        <v>89</v>
      </c>
      <c r="E179" s="10" t="s">
        <v>45</v>
      </c>
      <c r="F179" s="10" t="s">
        <v>2895</v>
      </c>
      <c r="G179" s="18">
        <f>919863105048</f>
        <v>919863105048</v>
      </c>
      <c r="H179" s="18">
        <f>919436265635</f>
        <v>919436265635</v>
      </c>
      <c r="I179" s="10" t="s">
        <v>310</v>
      </c>
      <c r="J179" s="10" t="s">
        <v>1951</v>
      </c>
      <c r="K179" s="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>
      <c r="A180" s="10" t="s">
        <v>2425</v>
      </c>
      <c r="B180" s="21">
        <v>41050</v>
      </c>
      <c r="C180" s="10" t="s">
        <v>1860</v>
      </c>
      <c r="D180" s="10" t="s">
        <v>89</v>
      </c>
      <c r="E180" s="10" t="s">
        <v>36</v>
      </c>
      <c r="F180" s="10" t="s">
        <v>2896</v>
      </c>
      <c r="G180" s="18">
        <f>919975941275</f>
        <v>919975941275</v>
      </c>
      <c r="H180" s="18">
        <f>919922926624</f>
        <v>919922926624</v>
      </c>
      <c r="I180" s="10" t="s">
        <v>131</v>
      </c>
      <c r="J180" s="10" t="s">
        <v>354</v>
      </c>
      <c r="K180" s="7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>
      <c r="A181" s="10" t="s">
        <v>2425</v>
      </c>
      <c r="B181" s="16">
        <v>40748</v>
      </c>
      <c r="C181" s="10" t="s">
        <v>1929</v>
      </c>
      <c r="D181" s="10" t="s">
        <v>89</v>
      </c>
      <c r="E181" s="10" t="s">
        <v>194</v>
      </c>
      <c r="F181" s="10" t="s">
        <v>2897</v>
      </c>
      <c r="G181" s="18">
        <f t="shared" ref="G181:H181" si="13">918127860741</f>
        <v>918127860741</v>
      </c>
      <c r="H181" s="18">
        <f t="shared" si="13"/>
        <v>918127860741</v>
      </c>
      <c r="I181" s="10" t="s">
        <v>170</v>
      </c>
      <c r="J181" s="10" t="s">
        <v>312</v>
      </c>
      <c r="K181" s="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>
      <c r="A182" s="10" t="s">
        <v>2425</v>
      </c>
      <c r="B182" s="16">
        <v>41142</v>
      </c>
      <c r="C182" s="10" t="s">
        <v>1816</v>
      </c>
      <c r="D182" s="10" t="s">
        <v>89</v>
      </c>
      <c r="E182" s="10" t="s">
        <v>93</v>
      </c>
      <c r="F182" s="10" t="s">
        <v>2898</v>
      </c>
      <c r="G182" s="18">
        <f>918015044227</f>
        <v>918015044227</v>
      </c>
      <c r="H182" s="18">
        <f>918015044226</f>
        <v>918015044226</v>
      </c>
      <c r="I182" s="10" t="s">
        <v>1767</v>
      </c>
      <c r="J182" s="10" t="s">
        <v>2899</v>
      </c>
      <c r="K182" s="7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>
      <c r="A183" s="10" t="s">
        <v>2425</v>
      </c>
      <c r="B183" s="16">
        <v>40857</v>
      </c>
      <c r="C183" s="10" t="s">
        <v>1845</v>
      </c>
      <c r="D183" s="10" t="s">
        <v>89</v>
      </c>
      <c r="E183" s="10" t="s">
        <v>36</v>
      </c>
      <c r="F183" s="10" t="s">
        <v>1994</v>
      </c>
      <c r="G183" s="18">
        <f>919975707061</f>
        <v>919975707061</v>
      </c>
      <c r="H183" s="18">
        <f>919860202196</f>
        <v>919860202196</v>
      </c>
      <c r="I183" s="10" t="s">
        <v>310</v>
      </c>
      <c r="J183" s="10" t="s">
        <v>354</v>
      </c>
      <c r="K183" s="7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>
      <c r="A184" s="10" t="s">
        <v>2425</v>
      </c>
      <c r="B184" s="16">
        <v>41076</v>
      </c>
      <c r="C184" s="10" t="s">
        <v>2900</v>
      </c>
      <c r="D184" s="10" t="s">
        <v>89</v>
      </c>
      <c r="E184" s="10" t="s">
        <v>216</v>
      </c>
      <c r="F184" s="10" t="s">
        <v>2901</v>
      </c>
      <c r="G184" s="18">
        <f>919666695250</f>
        <v>919666695250</v>
      </c>
      <c r="H184" s="18">
        <f>918688622880</f>
        <v>918688622880</v>
      </c>
      <c r="I184" s="10" t="s">
        <v>170</v>
      </c>
      <c r="J184" s="10" t="s">
        <v>678</v>
      </c>
      <c r="K184" s="7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>
      <c r="A185" s="10" t="s">
        <v>2425</v>
      </c>
      <c r="B185" s="16">
        <v>40715</v>
      </c>
      <c r="C185" s="10" t="s">
        <v>725</v>
      </c>
      <c r="D185" s="10" t="s">
        <v>89</v>
      </c>
      <c r="E185" s="10" t="s">
        <v>36</v>
      </c>
      <c r="F185" s="10" t="s">
        <v>2902</v>
      </c>
      <c r="G185" s="18">
        <f>917249476400</f>
        <v>917249476400</v>
      </c>
      <c r="H185" s="18">
        <f t="shared" ref="H185:H186" si="14">919011125038</f>
        <v>919011125038</v>
      </c>
      <c r="I185" s="10" t="s">
        <v>170</v>
      </c>
      <c r="J185" s="10" t="s">
        <v>354</v>
      </c>
      <c r="K185" s="7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>
      <c r="A186" s="10" t="s">
        <v>2425</v>
      </c>
      <c r="B186" s="16">
        <v>40715</v>
      </c>
      <c r="C186" s="10" t="s">
        <v>736</v>
      </c>
      <c r="D186" s="10" t="s">
        <v>89</v>
      </c>
      <c r="E186" s="10" t="s">
        <v>36</v>
      </c>
      <c r="F186" s="10" t="s">
        <v>2902</v>
      </c>
      <c r="G186" s="18">
        <f>919890845705</f>
        <v>919890845705</v>
      </c>
      <c r="H186" s="18">
        <f t="shared" si="14"/>
        <v>919011125038</v>
      </c>
      <c r="I186" s="10" t="s">
        <v>170</v>
      </c>
      <c r="J186" s="10" t="s">
        <v>354</v>
      </c>
      <c r="K186" s="7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>
      <c r="A187" s="10" t="s">
        <v>2425</v>
      </c>
      <c r="B187" s="16">
        <v>41160</v>
      </c>
      <c r="C187" s="10" t="s">
        <v>1876</v>
      </c>
      <c r="D187" s="10" t="s">
        <v>89</v>
      </c>
      <c r="E187" s="10" t="s">
        <v>36</v>
      </c>
      <c r="F187" s="10" t="s">
        <v>2903</v>
      </c>
      <c r="G187" s="18">
        <f>919730565912</f>
        <v>919730565912</v>
      </c>
      <c r="H187" s="18">
        <f>919975690967</f>
        <v>919975690967</v>
      </c>
      <c r="I187" s="10" t="s">
        <v>131</v>
      </c>
      <c r="J187" s="10" t="s">
        <v>592</v>
      </c>
      <c r="K187" s="7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>
      <c r="A188" s="10" t="s">
        <v>2425</v>
      </c>
      <c r="B188" s="16">
        <v>40767</v>
      </c>
      <c r="C188" s="10" t="s">
        <v>1673</v>
      </c>
      <c r="D188" s="10" t="s">
        <v>89</v>
      </c>
      <c r="E188" s="10" t="s">
        <v>36</v>
      </c>
      <c r="F188" s="10" t="s">
        <v>2902</v>
      </c>
      <c r="G188" s="18">
        <f>918623872195</f>
        <v>918623872195</v>
      </c>
      <c r="H188" s="18">
        <f>919011125038</f>
        <v>919011125038</v>
      </c>
      <c r="I188" s="10" t="s">
        <v>131</v>
      </c>
      <c r="J188" s="10" t="s">
        <v>354</v>
      </c>
      <c r="K188" s="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>
      <c r="A189" s="10" t="s">
        <v>2425</v>
      </c>
      <c r="B189" s="10" t="s">
        <v>2904</v>
      </c>
      <c r="C189" s="10" t="s">
        <v>1695</v>
      </c>
      <c r="D189" s="10" t="s">
        <v>89</v>
      </c>
      <c r="E189" s="10" t="s">
        <v>54</v>
      </c>
      <c r="F189" s="10" t="s">
        <v>2905</v>
      </c>
      <c r="G189" s="18">
        <v>9879217811</v>
      </c>
      <c r="H189" s="18">
        <v>9879217811</v>
      </c>
      <c r="I189" s="10" t="s">
        <v>131</v>
      </c>
      <c r="J189" s="10" t="s">
        <v>354</v>
      </c>
      <c r="K189" s="7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>
      <c r="A190" s="10" t="s">
        <v>2425</v>
      </c>
      <c r="B190" s="57">
        <v>40550</v>
      </c>
      <c r="C190" s="10" t="s">
        <v>1683</v>
      </c>
      <c r="D190" s="10" t="s">
        <v>89</v>
      </c>
      <c r="E190" s="10" t="s">
        <v>54</v>
      </c>
      <c r="F190" s="10" t="s">
        <v>2906</v>
      </c>
      <c r="G190" s="18">
        <v>9824324324</v>
      </c>
      <c r="H190" s="18">
        <v>9824324324</v>
      </c>
      <c r="I190" s="10" t="s">
        <v>170</v>
      </c>
      <c r="J190" s="10" t="s">
        <v>354</v>
      </c>
      <c r="K190" s="7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>
      <c r="A191" s="10" t="s">
        <v>2425</v>
      </c>
      <c r="B191" s="10" t="s">
        <v>2907</v>
      </c>
      <c r="C191" s="10" t="s">
        <v>1830</v>
      </c>
      <c r="D191" s="10" t="s">
        <v>89</v>
      </c>
      <c r="E191" s="10" t="s">
        <v>36</v>
      </c>
      <c r="F191" s="10" t="s">
        <v>2908</v>
      </c>
      <c r="G191" s="18">
        <v>7506041043</v>
      </c>
      <c r="H191" s="18">
        <v>7506041043</v>
      </c>
      <c r="I191" s="10" t="s">
        <v>131</v>
      </c>
      <c r="J191" s="10" t="s">
        <v>354</v>
      </c>
      <c r="K191" s="7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>
      <c r="A192" s="10" t="s">
        <v>2425</v>
      </c>
      <c r="B192" s="10" t="s">
        <v>2909</v>
      </c>
      <c r="C192" s="10" t="s">
        <v>1748</v>
      </c>
      <c r="D192" s="10" t="s">
        <v>89</v>
      </c>
      <c r="E192" s="10" t="s">
        <v>93</v>
      </c>
      <c r="F192" s="10" t="s">
        <v>2910</v>
      </c>
      <c r="G192" s="18">
        <v>9940111282</v>
      </c>
      <c r="H192" s="18">
        <v>9940111282</v>
      </c>
      <c r="I192" s="10" t="s">
        <v>131</v>
      </c>
      <c r="J192" s="10" t="s">
        <v>354</v>
      </c>
      <c r="K192" s="7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>
      <c r="A193" s="10" t="s">
        <v>2425</v>
      </c>
      <c r="B193" s="10" t="s">
        <v>2911</v>
      </c>
      <c r="C193" s="10" t="s">
        <v>1654</v>
      </c>
      <c r="D193" s="10" t="s">
        <v>89</v>
      </c>
      <c r="E193" s="10" t="s">
        <v>93</v>
      </c>
      <c r="F193" s="10" t="s">
        <v>2912</v>
      </c>
      <c r="G193" s="18">
        <v>9566476269</v>
      </c>
      <c r="H193" s="18">
        <v>9566476269</v>
      </c>
      <c r="I193" s="10" t="s">
        <v>170</v>
      </c>
      <c r="J193" s="10" t="s">
        <v>354</v>
      </c>
      <c r="K193" s="7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>
      <c r="A194" s="10" t="s">
        <v>2425</v>
      </c>
      <c r="B194" s="57">
        <v>40851</v>
      </c>
      <c r="C194" s="10" t="s">
        <v>1777</v>
      </c>
      <c r="D194" s="10" t="s">
        <v>89</v>
      </c>
      <c r="E194" s="10" t="s">
        <v>54</v>
      </c>
      <c r="F194" s="10" t="s">
        <v>2913</v>
      </c>
      <c r="G194" s="18">
        <v>9727734628</v>
      </c>
      <c r="H194" s="18">
        <v>8460780198</v>
      </c>
      <c r="I194" s="10" t="s">
        <v>170</v>
      </c>
      <c r="J194" s="10" t="s">
        <v>354</v>
      </c>
      <c r="K194" s="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>
      <c r="A195" s="10" t="s">
        <v>2425</v>
      </c>
      <c r="B195" s="16">
        <v>40717</v>
      </c>
      <c r="C195" s="10" t="s">
        <v>1838</v>
      </c>
      <c r="D195" s="10" t="s">
        <v>89</v>
      </c>
      <c r="E195" s="10" t="s">
        <v>148</v>
      </c>
      <c r="F195" s="10" t="s">
        <v>2914</v>
      </c>
      <c r="G195" s="18">
        <f>919827108166</f>
        <v>919827108166</v>
      </c>
      <c r="H195" s="18">
        <f>918770440096</f>
        <v>918770440096</v>
      </c>
      <c r="I195" s="10" t="s">
        <v>170</v>
      </c>
      <c r="J195" s="10" t="s">
        <v>475</v>
      </c>
      <c r="K195" s="7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>
      <c r="A196" s="10" t="s">
        <v>2425</v>
      </c>
      <c r="B196" s="16">
        <v>40839</v>
      </c>
      <c r="C196" s="10" t="s">
        <v>1933</v>
      </c>
      <c r="D196" s="10" t="s">
        <v>89</v>
      </c>
      <c r="E196" s="10" t="s">
        <v>26</v>
      </c>
      <c r="F196" s="10" t="s">
        <v>570</v>
      </c>
      <c r="G196" s="18">
        <f t="shared" ref="G196:G197" si="15">919827716658</f>
        <v>919827716658</v>
      </c>
      <c r="H196" s="18">
        <f t="shared" ref="H196:H197" si="16">919303106384</f>
        <v>919303106384</v>
      </c>
      <c r="I196" s="10" t="s">
        <v>170</v>
      </c>
      <c r="J196" s="10" t="s">
        <v>678</v>
      </c>
      <c r="K196" s="7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>
      <c r="A197" s="10" t="s">
        <v>2425</v>
      </c>
      <c r="B197" s="16">
        <v>40956</v>
      </c>
      <c r="C197" s="10" t="s">
        <v>1806</v>
      </c>
      <c r="D197" s="10" t="s">
        <v>89</v>
      </c>
      <c r="E197" s="10" t="s">
        <v>26</v>
      </c>
      <c r="F197" s="10" t="s">
        <v>570</v>
      </c>
      <c r="G197" s="18">
        <f t="shared" si="15"/>
        <v>919827716658</v>
      </c>
      <c r="H197" s="18">
        <f t="shared" si="16"/>
        <v>919303106384</v>
      </c>
      <c r="I197" s="10" t="s">
        <v>170</v>
      </c>
      <c r="J197" s="10" t="s">
        <v>678</v>
      </c>
      <c r="K197" s="7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>
      <c r="A198" s="10" t="s">
        <v>2425</v>
      </c>
      <c r="B198" s="16">
        <v>40820</v>
      </c>
      <c r="C198" s="10" t="s">
        <v>1867</v>
      </c>
      <c r="D198" s="10" t="s">
        <v>89</v>
      </c>
      <c r="E198" s="10" t="s">
        <v>36</v>
      </c>
      <c r="F198" s="10" t="s">
        <v>2915</v>
      </c>
      <c r="G198" s="18">
        <f>917743893281</f>
        <v>917743893281</v>
      </c>
      <c r="H198" s="18">
        <f>919325107142</f>
        <v>919325107142</v>
      </c>
      <c r="I198" s="10" t="s">
        <v>170</v>
      </c>
      <c r="J198" s="10" t="s">
        <v>2562</v>
      </c>
      <c r="K198" s="7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>
      <c r="A199" s="36" t="s">
        <v>2425</v>
      </c>
      <c r="B199" s="38" t="s">
        <v>2916</v>
      </c>
      <c r="C199" s="38" t="s">
        <v>1662</v>
      </c>
      <c r="D199" s="36" t="s">
        <v>89</v>
      </c>
      <c r="E199" s="36" t="s">
        <v>72</v>
      </c>
      <c r="F199" s="38"/>
      <c r="G199" s="38"/>
      <c r="H199" s="38"/>
      <c r="I199" s="38"/>
      <c r="J199" s="38"/>
      <c r="K199" s="38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</row>
    <row r="200" spans="1:28">
      <c r="A200" s="10" t="s">
        <v>2425</v>
      </c>
      <c r="B200" s="16">
        <v>41197</v>
      </c>
      <c r="C200" s="10" t="s">
        <v>1739</v>
      </c>
      <c r="D200" s="10" t="s">
        <v>89</v>
      </c>
      <c r="E200" s="10" t="s">
        <v>301</v>
      </c>
      <c r="F200" s="10" t="s">
        <v>2917</v>
      </c>
      <c r="G200" s="18">
        <f>919461529303</f>
        <v>919461529303</v>
      </c>
      <c r="H200" s="18">
        <f>918949964544</f>
        <v>918949964544</v>
      </c>
      <c r="I200" s="10" t="s">
        <v>310</v>
      </c>
      <c r="J200" s="10" t="s">
        <v>1976</v>
      </c>
      <c r="K200" s="7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>
      <c r="A201" s="83" t="s">
        <v>2918</v>
      </c>
      <c r="B201" s="80"/>
      <c r="C201" s="80"/>
      <c r="D201" s="80"/>
      <c r="E201" s="80"/>
      <c r="F201" s="80"/>
      <c r="G201" s="80"/>
      <c r="H201" s="80"/>
      <c r="I201" s="80"/>
      <c r="J201" s="81"/>
      <c r="K201" s="14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>
      <c r="A202" s="41" t="s">
        <v>3</v>
      </c>
      <c r="B202" s="41" t="s">
        <v>2</v>
      </c>
      <c r="C202" s="41" t="s">
        <v>0</v>
      </c>
      <c r="D202" s="41" t="s">
        <v>4</v>
      </c>
      <c r="E202" s="41" t="s">
        <v>5</v>
      </c>
      <c r="F202" s="2" t="s">
        <v>6</v>
      </c>
      <c r="G202" s="2" t="s">
        <v>1684</v>
      </c>
      <c r="H202" s="2" t="s">
        <v>1685</v>
      </c>
      <c r="I202" s="2" t="s">
        <v>1687</v>
      </c>
      <c r="J202" s="2" t="s">
        <v>1690</v>
      </c>
      <c r="K202" s="7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>
      <c r="A203" s="10" t="s">
        <v>2919</v>
      </c>
      <c r="B203" s="57">
        <v>39911</v>
      </c>
      <c r="C203" s="10" t="s">
        <v>130</v>
      </c>
      <c r="D203" s="10" t="s">
        <v>422</v>
      </c>
      <c r="E203" s="10" t="s">
        <v>112</v>
      </c>
      <c r="F203" s="10" t="s">
        <v>2920</v>
      </c>
      <c r="G203" s="18">
        <v>6000572963</v>
      </c>
      <c r="H203" s="18">
        <v>8011245411</v>
      </c>
      <c r="I203" s="10" t="s">
        <v>170</v>
      </c>
      <c r="J203" s="10" t="s">
        <v>354</v>
      </c>
      <c r="K203" s="7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>
      <c r="A204" s="10" t="s">
        <v>2919</v>
      </c>
      <c r="B204" s="10" t="s">
        <v>2921</v>
      </c>
      <c r="C204" s="10" t="s">
        <v>71</v>
      </c>
      <c r="D204" s="10" t="s">
        <v>422</v>
      </c>
      <c r="E204" s="10" t="s">
        <v>72</v>
      </c>
      <c r="F204" s="10" t="s">
        <v>2922</v>
      </c>
      <c r="G204" s="18">
        <v>9113644915</v>
      </c>
      <c r="H204" s="18">
        <v>9036831040</v>
      </c>
      <c r="I204" s="10" t="s">
        <v>170</v>
      </c>
      <c r="J204" s="10" t="s">
        <v>354</v>
      </c>
      <c r="K204" s="7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>
      <c r="A205" s="10" t="s">
        <v>2919</v>
      </c>
      <c r="B205" s="16">
        <v>40371</v>
      </c>
      <c r="C205" s="10" t="s">
        <v>121</v>
      </c>
      <c r="D205" s="10" t="s">
        <v>422</v>
      </c>
      <c r="E205" s="10" t="s">
        <v>36</v>
      </c>
      <c r="F205" s="10" t="s">
        <v>895</v>
      </c>
      <c r="G205" s="18">
        <f>919820200679</f>
        <v>919820200679</v>
      </c>
      <c r="H205" s="18">
        <f>917977742058</f>
        <v>917977742058</v>
      </c>
      <c r="I205" s="10" t="s">
        <v>131</v>
      </c>
      <c r="J205" s="10" t="s">
        <v>678</v>
      </c>
      <c r="K205" s="7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>
      <c r="A206" s="10" t="s">
        <v>2919</v>
      </c>
      <c r="B206" s="16">
        <v>40043</v>
      </c>
      <c r="C206" s="10" t="s">
        <v>62</v>
      </c>
      <c r="D206" s="10" t="s">
        <v>422</v>
      </c>
      <c r="E206" s="10" t="s">
        <v>36</v>
      </c>
      <c r="F206" s="10" t="s">
        <v>2923</v>
      </c>
      <c r="G206" s="18">
        <f>918275276167</f>
        <v>918275276167</v>
      </c>
      <c r="H206" s="18">
        <f>918766012395</f>
        <v>918766012395</v>
      </c>
      <c r="I206" s="10" t="s">
        <v>170</v>
      </c>
      <c r="J206" s="10" t="s">
        <v>354</v>
      </c>
      <c r="K206" s="7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>
      <c r="A207" s="10" t="s">
        <v>2919</v>
      </c>
      <c r="B207" s="16">
        <v>39818</v>
      </c>
      <c r="C207" s="10" t="s">
        <v>1948</v>
      </c>
      <c r="D207" s="10" t="s">
        <v>422</v>
      </c>
      <c r="E207" s="10" t="s">
        <v>36</v>
      </c>
      <c r="F207" s="10" t="s">
        <v>2924</v>
      </c>
      <c r="G207" s="18">
        <f>919923400594</f>
        <v>919923400594</v>
      </c>
      <c r="H207" s="18">
        <f>919923910579</f>
        <v>919923910579</v>
      </c>
      <c r="I207" s="10" t="s">
        <v>131</v>
      </c>
      <c r="J207" s="10" t="s">
        <v>2899</v>
      </c>
      <c r="K207" s="7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>
      <c r="A208" s="10" t="s">
        <v>2919</v>
      </c>
      <c r="B208" s="16">
        <v>39979</v>
      </c>
      <c r="C208" s="10" t="s">
        <v>35</v>
      </c>
      <c r="D208" s="10" t="s">
        <v>422</v>
      </c>
      <c r="E208" s="10" t="s">
        <v>36</v>
      </c>
      <c r="F208" s="10" t="s">
        <v>585</v>
      </c>
      <c r="G208" s="18">
        <f>919987616868</f>
        <v>919987616868</v>
      </c>
      <c r="H208" s="18">
        <f>918698214485</f>
        <v>918698214485</v>
      </c>
      <c r="I208" s="10" t="s">
        <v>131</v>
      </c>
      <c r="J208" s="10" t="s">
        <v>354</v>
      </c>
      <c r="K208" s="7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>
      <c r="A209" s="10" t="s">
        <v>2919</v>
      </c>
      <c r="B209" s="16">
        <v>39901</v>
      </c>
      <c r="C209" s="10" t="s">
        <v>44</v>
      </c>
      <c r="D209" s="10" t="s">
        <v>422</v>
      </c>
      <c r="E209" s="10" t="s">
        <v>45</v>
      </c>
      <c r="F209" s="10" t="s">
        <v>595</v>
      </c>
      <c r="G209" s="18">
        <f>916909371133</f>
        <v>916909371133</v>
      </c>
      <c r="H209" s="18">
        <f>917709361973</f>
        <v>917709361973</v>
      </c>
      <c r="I209" s="10" t="s">
        <v>1767</v>
      </c>
      <c r="J209" s="10" t="s">
        <v>354</v>
      </c>
      <c r="K209" s="7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>
      <c r="A210" s="10" t="s">
        <v>2919</v>
      </c>
      <c r="B210" s="16">
        <v>40033</v>
      </c>
      <c r="C210" s="10" t="s">
        <v>111</v>
      </c>
      <c r="D210" s="10" t="s">
        <v>422</v>
      </c>
      <c r="E210" s="10" t="s">
        <v>112</v>
      </c>
      <c r="F210" s="10" t="s">
        <v>2925</v>
      </c>
      <c r="G210" s="18">
        <f>918761910643</f>
        <v>918761910643</v>
      </c>
      <c r="H210" s="18">
        <f>916900338229</f>
        <v>916900338229</v>
      </c>
      <c r="I210" s="10" t="s">
        <v>1767</v>
      </c>
      <c r="J210" s="10" t="s">
        <v>2926</v>
      </c>
      <c r="K210" s="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>
      <c r="A211" s="10" t="s">
        <v>2919</v>
      </c>
      <c r="B211" s="16">
        <v>40351</v>
      </c>
      <c r="C211" s="10" t="s">
        <v>92</v>
      </c>
      <c r="D211" s="10" t="s">
        <v>422</v>
      </c>
      <c r="E211" s="10" t="s">
        <v>93</v>
      </c>
      <c r="F211" s="10" t="s">
        <v>2927</v>
      </c>
      <c r="G211" s="18">
        <f>919840344472</f>
        <v>919840344472</v>
      </c>
      <c r="H211" s="18">
        <f>916380863636</f>
        <v>916380863636</v>
      </c>
      <c r="I211" s="10" t="s">
        <v>170</v>
      </c>
      <c r="J211" s="10" t="s">
        <v>354</v>
      </c>
      <c r="K211" s="7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>
      <c r="A212" s="10" t="s">
        <v>2919</v>
      </c>
      <c r="B212" s="21">
        <v>40318</v>
      </c>
      <c r="C212" s="10" t="s">
        <v>101</v>
      </c>
      <c r="D212" s="10" t="s">
        <v>422</v>
      </c>
      <c r="E212" s="10" t="s">
        <v>93</v>
      </c>
      <c r="F212" s="10" t="s">
        <v>2928</v>
      </c>
      <c r="G212" s="18">
        <f>917299015555</f>
        <v>917299015555</v>
      </c>
      <c r="H212" s="18">
        <f>917299029999</f>
        <v>917299029999</v>
      </c>
      <c r="I212" s="10" t="s">
        <v>131</v>
      </c>
      <c r="J212" s="10" t="s">
        <v>1951</v>
      </c>
      <c r="K212" s="7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>
      <c r="A213" s="10" t="s">
        <v>2919</v>
      </c>
      <c r="B213" s="16">
        <v>40041</v>
      </c>
      <c r="C213" s="10" t="s">
        <v>25</v>
      </c>
      <c r="D213" s="10" t="s">
        <v>422</v>
      </c>
      <c r="E213" s="10" t="s">
        <v>26</v>
      </c>
      <c r="F213" s="10" t="s">
        <v>570</v>
      </c>
      <c r="G213" s="18">
        <f>919827716658</f>
        <v>919827716658</v>
      </c>
      <c r="H213" s="18">
        <f>919303106384</f>
        <v>919303106384</v>
      </c>
      <c r="I213" s="10" t="s">
        <v>310</v>
      </c>
      <c r="J213" s="10" t="s">
        <v>678</v>
      </c>
      <c r="K213" s="7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>
      <c r="A214" s="36" t="s">
        <v>2919</v>
      </c>
      <c r="B214" s="36" t="s">
        <v>2929</v>
      </c>
      <c r="C214" s="36" t="s">
        <v>53</v>
      </c>
      <c r="D214" s="36" t="s">
        <v>422</v>
      </c>
      <c r="E214" s="36" t="s">
        <v>54</v>
      </c>
      <c r="F214" s="7"/>
      <c r="G214" s="7"/>
      <c r="H214" s="7"/>
      <c r="I214" s="7"/>
      <c r="J214" s="7"/>
      <c r="K214" s="7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>
      <c r="A215" s="36" t="s">
        <v>2919</v>
      </c>
      <c r="B215" s="37">
        <v>40441</v>
      </c>
      <c r="C215" s="36" t="s">
        <v>80</v>
      </c>
      <c r="D215" s="36" t="s">
        <v>422</v>
      </c>
      <c r="E215" s="36" t="s">
        <v>81</v>
      </c>
      <c r="F215" s="10" t="s">
        <v>194</v>
      </c>
      <c r="G215" s="7"/>
      <c r="H215" s="7"/>
      <c r="I215" s="7"/>
      <c r="J215" s="7"/>
      <c r="K215" s="7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>
      <c r="A216" s="10" t="s">
        <v>2919</v>
      </c>
      <c r="B216" s="21">
        <v>39962</v>
      </c>
      <c r="C216" s="10" t="s">
        <v>370</v>
      </c>
      <c r="D216" s="10" t="s">
        <v>89</v>
      </c>
      <c r="E216" s="10" t="s">
        <v>54</v>
      </c>
      <c r="F216" s="10" t="s">
        <v>2930</v>
      </c>
      <c r="G216" s="18">
        <f>917990994631</f>
        <v>917990994631</v>
      </c>
      <c r="H216" s="18">
        <f>918780571443</f>
        <v>918780571443</v>
      </c>
      <c r="I216" s="10" t="s">
        <v>170</v>
      </c>
      <c r="J216" s="10" t="s">
        <v>2931</v>
      </c>
      <c r="K216" s="7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>
      <c r="A217" s="10" t="s">
        <v>2919</v>
      </c>
      <c r="B217" s="16">
        <v>39871</v>
      </c>
      <c r="C217" s="10" t="s">
        <v>311</v>
      </c>
      <c r="D217" s="10" t="s">
        <v>89</v>
      </c>
      <c r="E217" s="10" t="s">
        <v>313</v>
      </c>
      <c r="F217" s="10" t="s">
        <v>2932</v>
      </c>
      <c r="G217" s="18">
        <f>918603502558</f>
        <v>918603502558</v>
      </c>
      <c r="H217" s="18">
        <f>919279128123</f>
        <v>919279128123</v>
      </c>
      <c r="I217" s="10" t="s">
        <v>170</v>
      </c>
      <c r="J217" s="10" t="s">
        <v>312</v>
      </c>
      <c r="K217" s="7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>
      <c r="A218" s="10" t="s">
        <v>2919</v>
      </c>
      <c r="B218" s="16">
        <v>40008</v>
      </c>
      <c r="C218" s="10" t="s">
        <v>470</v>
      </c>
      <c r="D218" s="10" t="s">
        <v>89</v>
      </c>
      <c r="E218" s="10" t="s">
        <v>72</v>
      </c>
      <c r="F218" s="10" t="s">
        <v>2933</v>
      </c>
      <c r="G218" s="18">
        <f>919686152441</f>
        <v>919686152441</v>
      </c>
      <c r="H218" s="18">
        <f>918217605377</f>
        <v>918217605377</v>
      </c>
      <c r="I218" s="10" t="s">
        <v>170</v>
      </c>
      <c r="J218" s="10" t="s">
        <v>592</v>
      </c>
      <c r="K218" s="7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>
      <c r="A219" s="10" t="s">
        <v>2919</v>
      </c>
      <c r="B219" s="16">
        <v>40134</v>
      </c>
      <c r="C219" s="10" t="s">
        <v>225</v>
      </c>
      <c r="D219" s="10" t="s">
        <v>89</v>
      </c>
      <c r="E219" s="10" t="s">
        <v>72</v>
      </c>
      <c r="F219" s="10" t="s">
        <v>2934</v>
      </c>
      <c r="G219" s="18">
        <f>918197963652</f>
        <v>918197963652</v>
      </c>
      <c r="H219" s="18">
        <f>919902481816</f>
        <v>919902481816</v>
      </c>
      <c r="I219" s="10" t="s">
        <v>170</v>
      </c>
      <c r="J219" s="10" t="s">
        <v>354</v>
      </c>
      <c r="K219" s="7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>
      <c r="A220" s="10" t="s">
        <v>2919</v>
      </c>
      <c r="B220" s="16">
        <v>39838</v>
      </c>
      <c r="C220" s="10" t="s">
        <v>2935</v>
      </c>
      <c r="D220" s="10" t="s">
        <v>89</v>
      </c>
      <c r="E220" s="10" t="s">
        <v>72</v>
      </c>
      <c r="F220" s="10" t="s">
        <v>2936</v>
      </c>
      <c r="G220" s="18">
        <f>919632223179</f>
        <v>919632223179</v>
      </c>
      <c r="H220" s="18">
        <f>919900979911</f>
        <v>919900979911</v>
      </c>
      <c r="I220" s="10" t="s">
        <v>170</v>
      </c>
      <c r="J220" s="10" t="s">
        <v>678</v>
      </c>
      <c r="K220" s="7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>
      <c r="A221" s="52" t="s">
        <v>2919</v>
      </c>
      <c r="B221" s="53">
        <v>39883</v>
      </c>
      <c r="C221" s="52" t="s">
        <v>2937</v>
      </c>
      <c r="D221" s="52" t="s">
        <v>89</v>
      </c>
      <c r="E221" s="52" t="s">
        <v>26</v>
      </c>
      <c r="F221" s="52" t="s">
        <v>2938</v>
      </c>
      <c r="G221" s="54">
        <f>919907885081</f>
        <v>919907885081</v>
      </c>
      <c r="H221" s="54">
        <f>919827285840</f>
        <v>919827285840</v>
      </c>
      <c r="I221" s="52" t="s">
        <v>1767</v>
      </c>
      <c r="J221" s="52" t="s">
        <v>354</v>
      </c>
      <c r="K221" s="7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>
      <c r="A222" s="10" t="s">
        <v>2919</v>
      </c>
      <c r="B222" s="16">
        <v>40111</v>
      </c>
      <c r="C222" s="10" t="s">
        <v>560</v>
      </c>
      <c r="D222" s="10" t="s">
        <v>89</v>
      </c>
      <c r="E222" s="10" t="s">
        <v>26</v>
      </c>
      <c r="F222" s="10" t="s">
        <v>2939</v>
      </c>
      <c r="G222" s="18">
        <f>919752766638</f>
        <v>919752766638</v>
      </c>
      <c r="H222" s="18">
        <f>919977583392</f>
        <v>919977583392</v>
      </c>
      <c r="I222" s="10" t="s">
        <v>310</v>
      </c>
      <c r="J222" s="10" t="s">
        <v>678</v>
      </c>
      <c r="K222" s="7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>
      <c r="A223" s="10" t="s">
        <v>2919</v>
      </c>
      <c r="B223" s="16">
        <v>40055</v>
      </c>
      <c r="C223" s="10" t="s">
        <v>256</v>
      </c>
      <c r="D223" s="10" t="s">
        <v>89</v>
      </c>
      <c r="E223" s="10" t="s">
        <v>257</v>
      </c>
      <c r="F223" s="10" t="s">
        <v>2940</v>
      </c>
      <c r="G223" s="18">
        <f>917067147383</f>
        <v>917067147383</v>
      </c>
      <c r="H223" s="18">
        <f>917000236233</f>
        <v>917000236233</v>
      </c>
      <c r="I223" s="10" t="s">
        <v>170</v>
      </c>
      <c r="J223" s="10" t="s">
        <v>2562</v>
      </c>
      <c r="K223" s="7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>
      <c r="A224" s="10" t="s">
        <v>2919</v>
      </c>
      <c r="B224" s="16">
        <v>40280</v>
      </c>
      <c r="C224" s="10" t="s">
        <v>271</v>
      </c>
      <c r="D224" s="10" t="s">
        <v>89</v>
      </c>
      <c r="E224" s="10" t="s">
        <v>257</v>
      </c>
      <c r="F224" s="10" t="s">
        <v>2880</v>
      </c>
      <c r="G224" s="18">
        <f t="shared" ref="G224:H224" si="17">917000236233</f>
        <v>917000236233</v>
      </c>
      <c r="H224" s="18">
        <f t="shared" si="17"/>
        <v>917000236233</v>
      </c>
      <c r="I224" s="10" t="s">
        <v>310</v>
      </c>
      <c r="J224" s="10" t="s">
        <v>354</v>
      </c>
      <c r="K224" s="7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>
      <c r="A225" s="10" t="s">
        <v>2919</v>
      </c>
      <c r="B225" s="16">
        <v>39989</v>
      </c>
      <c r="C225" s="10" t="s">
        <v>185</v>
      </c>
      <c r="D225" s="10" t="s">
        <v>89</v>
      </c>
      <c r="E225" s="10" t="s">
        <v>186</v>
      </c>
      <c r="F225" s="10" t="s">
        <v>2941</v>
      </c>
      <c r="G225" s="18">
        <f>919424041202</f>
        <v>919424041202</v>
      </c>
      <c r="H225" s="18">
        <f>919183441202</f>
        <v>919183441202</v>
      </c>
      <c r="I225" s="10" t="s">
        <v>310</v>
      </c>
      <c r="J225" s="10" t="s">
        <v>354</v>
      </c>
      <c r="K225" s="7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>
      <c r="A226" s="10" t="s">
        <v>2919</v>
      </c>
      <c r="B226" s="16">
        <v>39838</v>
      </c>
      <c r="C226" s="10" t="s">
        <v>233</v>
      </c>
      <c r="D226" s="10" t="s">
        <v>89</v>
      </c>
      <c r="E226" s="10" t="s">
        <v>36</v>
      </c>
      <c r="F226" s="10" t="s">
        <v>2942</v>
      </c>
      <c r="G226" s="18">
        <f>918055090942</f>
        <v>918055090942</v>
      </c>
      <c r="H226" s="18">
        <f>919923000087</f>
        <v>919923000087</v>
      </c>
      <c r="I226" s="10" t="s">
        <v>1767</v>
      </c>
      <c r="J226" s="10" t="s">
        <v>678</v>
      </c>
      <c r="K226" s="7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>
      <c r="A227" s="10" t="s">
        <v>2919</v>
      </c>
      <c r="B227" s="16">
        <v>40351</v>
      </c>
      <c r="C227" s="10" t="s">
        <v>414</v>
      </c>
      <c r="D227" s="10" t="s">
        <v>89</v>
      </c>
      <c r="E227" s="10" t="s">
        <v>36</v>
      </c>
      <c r="F227" s="10" t="s">
        <v>2943</v>
      </c>
      <c r="G227" s="18">
        <f>919823233330</f>
        <v>919823233330</v>
      </c>
      <c r="H227" s="18">
        <f>917588197630</f>
        <v>917588197630</v>
      </c>
      <c r="I227" s="10" t="s">
        <v>1767</v>
      </c>
      <c r="J227" s="10" t="s">
        <v>678</v>
      </c>
      <c r="K227" s="7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>
      <c r="A228" s="10" t="s">
        <v>2919</v>
      </c>
      <c r="B228" s="16">
        <v>40240</v>
      </c>
      <c r="C228" s="10" t="s">
        <v>435</v>
      </c>
      <c r="D228" s="10" t="s">
        <v>89</v>
      </c>
      <c r="E228" s="10" t="s">
        <v>36</v>
      </c>
      <c r="F228" s="10" t="s">
        <v>2944</v>
      </c>
      <c r="G228" s="18">
        <f>919422711442</f>
        <v>919422711442</v>
      </c>
      <c r="H228" s="18">
        <f>918381011442</f>
        <v>918381011442</v>
      </c>
      <c r="I228" s="10" t="s">
        <v>310</v>
      </c>
      <c r="J228" s="10" t="s">
        <v>354</v>
      </c>
      <c r="K228" s="7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>
      <c r="A229" s="10" t="s">
        <v>2919</v>
      </c>
      <c r="B229" s="16">
        <v>40143</v>
      </c>
      <c r="C229" s="10" t="s">
        <v>361</v>
      </c>
      <c r="D229" s="10" t="s">
        <v>89</v>
      </c>
      <c r="E229" s="10" t="s">
        <v>36</v>
      </c>
      <c r="F229" s="10" t="s">
        <v>895</v>
      </c>
      <c r="G229" s="18">
        <f t="shared" ref="G229:G230" si="18">919820200679</f>
        <v>919820200679</v>
      </c>
      <c r="H229" s="18">
        <f t="shared" ref="H229:H230" si="19">917977742058</f>
        <v>917977742058</v>
      </c>
      <c r="I229" s="10" t="s">
        <v>310</v>
      </c>
      <c r="J229" s="10" t="s">
        <v>2945</v>
      </c>
      <c r="K229" s="7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>
      <c r="A230" s="10" t="s">
        <v>2919</v>
      </c>
      <c r="B230" s="16">
        <v>40009</v>
      </c>
      <c r="C230" s="10" t="s">
        <v>393</v>
      </c>
      <c r="D230" s="10" t="s">
        <v>89</v>
      </c>
      <c r="E230" s="10" t="s">
        <v>36</v>
      </c>
      <c r="F230" s="10" t="s">
        <v>895</v>
      </c>
      <c r="G230" s="18">
        <f t="shared" si="18"/>
        <v>919820200679</v>
      </c>
      <c r="H230" s="18">
        <f t="shared" si="19"/>
        <v>917977742058</v>
      </c>
      <c r="I230" s="10" t="s">
        <v>310</v>
      </c>
      <c r="J230" s="10" t="s">
        <v>678</v>
      </c>
      <c r="K230" s="7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>
      <c r="A231" s="10" t="s">
        <v>2919</v>
      </c>
      <c r="B231" s="16">
        <v>39968</v>
      </c>
      <c r="C231" s="10" t="s">
        <v>424</v>
      </c>
      <c r="D231" s="10" t="s">
        <v>89</v>
      </c>
      <c r="E231" s="10" t="s">
        <v>36</v>
      </c>
      <c r="F231" s="10" t="s">
        <v>2946</v>
      </c>
      <c r="G231" s="18">
        <f>919420328821</f>
        <v>919420328821</v>
      </c>
      <c r="H231" s="18">
        <f>919881170000</f>
        <v>919881170000</v>
      </c>
      <c r="I231" s="10" t="s">
        <v>170</v>
      </c>
      <c r="J231" s="10" t="s">
        <v>354</v>
      </c>
      <c r="K231" s="7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>
      <c r="A232" s="10" t="s">
        <v>2919</v>
      </c>
      <c r="B232" s="10" t="s">
        <v>2947</v>
      </c>
      <c r="C232" s="10" t="s">
        <v>246</v>
      </c>
      <c r="D232" s="10" t="s">
        <v>89</v>
      </c>
      <c r="E232" s="10" t="s">
        <v>36</v>
      </c>
      <c r="F232" s="10" t="s">
        <v>2948</v>
      </c>
      <c r="G232" s="18">
        <v>9623733535</v>
      </c>
      <c r="H232" s="18">
        <v>9011125038</v>
      </c>
      <c r="I232" s="10" t="s">
        <v>170</v>
      </c>
      <c r="J232" s="10" t="s">
        <v>354</v>
      </c>
      <c r="K232" s="7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>
      <c r="A233" s="10" t="s">
        <v>2919</v>
      </c>
      <c r="B233" s="10" t="s">
        <v>2947</v>
      </c>
      <c r="C233" s="10" t="s">
        <v>542</v>
      </c>
      <c r="D233" s="10" t="s">
        <v>89</v>
      </c>
      <c r="E233" s="10" t="s">
        <v>36</v>
      </c>
      <c r="F233" s="10" t="s">
        <v>2949</v>
      </c>
      <c r="G233" s="18">
        <v>9922249961</v>
      </c>
      <c r="H233" s="18">
        <v>9011125038</v>
      </c>
      <c r="I233" s="10" t="s">
        <v>131</v>
      </c>
      <c r="J233" s="10" t="s">
        <v>354</v>
      </c>
      <c r="K233" s="7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>
      <c r="A234" s="10" t="s">
        <v>2919</v>
      </c>
      <c r="B234" s="10" t="s">
        <v>2950</v>
      </c>
      <c r="C234" s="10" t="s">
        <v>205</v>
      </c>
      <c r="D234" s="10" t="s">
        <v>89</v>
      </c>
      <c r="E234" s="10" t="s">
        <v>36</v>
      </c>
      <c r="F234" s="10" t="s">
        <v>2951</v>
      </c>
      <c r="G234" s="18">
        <v>9975531376</v>
      </c>
      <c r="H234" s="18">
        <v>8237530192</v>
      </c>
      <c r="I234" s="10" t="s">
        <v>170</v>
      </c>
      <c r="J234" s="10" t="s">
        <v>354</v>
      </c>
      <c r="K234" s="7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>
      <c r="A235" s="10" t="s">
        <v>2919</v>
      </c>
      <c r="B235" s="16">
        <v>39915</v>
      </c>
      <c r="C235" s="10" t="s">
        <v>143</v>
      </c>
      <c r="D235" s="10" t="s">
        <v>89</v>
      </c>
      <c r="E235" s="10" t="s">
        <v>45</v>
      </c>
      <c r="F235" s="10" t="s">
        <v>623</v>
      </c>
      <c r="G235" s="18">
        <f>917085512186</f>
        <v>917085512186</v>
      </c>
      <c r="H235" s="18">
        <f t="shared" ref="H235:H237" si="20">917709361973</f>
        <v>917709361973</v>
      </c>
      <c r="I235" s="10" t="s">
        <v>170</v>
      </c>
      <c r="J235" s="10" t="s">
        <v>2952</v>
      </c>
      <c r="K235" s="7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>
      <c r="A236" s="10" t="s">
        <v>2919</v>
      </c>
      <c r="B236" s="16">
        <v>40179</v>
      </c>
      <c r="C236" s="10" t="s">
        <v>162</v>
      </c>
      <c r="D236" s="10" t="s">
        <v>89</v>
      </c>
      <c r="E236" s="10" t="s">
        <v>45</v>
      </c>
      <c r="F236" s="10" t="s">
        <v>649</v>
      </c>
      <c r="G236" s="18">
        <f>916009423520</f>
        <v>916009423520</v>
      </c>
      <c r="H236" s="18">
        <f t="shared" si="20"/>
        <v>917709361973</v>
      </c>
      <c r="I236" s="10" t="s">
        <v>170</v>
      </c>
      <c r="J236" s="10" t="s">
        <v>678</v>
      </c>
      <c r="K236" s="7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>
      <c r="A237" s="10" t="s">
        <v>2919</v>
      </c>
      <c r="B237" s="16">
        <v>40290</v>
      </c>
      <c r="C237" s="10" t="s">
        <v>551</v>
      </c>
      <c r="D237" s="10" t="s">
        <v>89</v>
      </c>
      <c r="E237" s="10" t="s">
        <v>45</v>
      </c>
      <c r="F237" s="10" t="s">
        <v>2953</v>
      </c>
      <c r="G237" s="18">
        <f>916909578756</f>
        <v>916909578756</v>
      </c>
      <c r="H237" s="18">
        <f t="shared" si="20"/>
        <v>917709361973</v>
      </c>
      <c r="I237" s="10" t="s">
        <v>131</v>
      </c>
      <c r="J237" s="10" t="s">
        <v>2952</v>
      </c>
      <c r="K237" s="7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>
      <c r="A238" s="10" t="s">
        <v>2919</v>
      </c>
      <c r="B238" s="16">
        <v>40462</v>
      </c>
      <c r="C238" s="10" t="s">
        <v>447</v>
      </c>
      <c r="D238" s="10" t="s">
        <v>89</v>
      </c>
      <c r="E238" s="10" t="s">
        <v>45</v>
      </c>
      <c r="F238" s="10" t="s">
        <v>2954</v>
      </c>
      <c r="G238" s="18">
        <f>917005875407</f>
        <v>917005875407</v>
      </c>
      <c r="H238" s="18">
        <f>919862460095</f>
        <v>919862460095</v>
      </c>
      <c r="I238" s="10" t="s">
        <v>310</v>
      </c>
      <c r="J238" s="10" t="s">
        <v>2955</v>
      </c>
      <c r="K238" s="7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>
      <c r="A239" s="10" t="s">
        <v>2919</v>
      </c>
      <c r="B239" s="16">
        <v>40210</v>
      </c>
      <c r="C239" s="10" t="s">
        <v>379</v>
      </c>
      <c r="D239" s="10" t="s">
        <v>89</v>
      </c>
      <c r="E239" s="10" t="s">
        <v>45</v>
      </c>
      <c r="F239" s="10" t="s">
        <v>2956</v>
      </c>
      <c r="G239" s="18">
        <f>919233075960</f>
        <v>919233075960</v>
      </c>
      <c r="H239" s="18">
        <f>919862096254</f>
        <v>919862096254</v>
      </c>
      <c r="I239" s="10" t="s">
        <v>310</v>
      </c>
      <c r="J239" s="10" t="s">
        <v>1951</v>
      </c>
      <c r="K239" s="7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>
      <c r="A240" s="10" t="s">
        <v>2919</v>
      </c>
      <c r="B240" s="16">
        <v>40268</v>
      </c>
      <c r="C240" s="10" t="s">
        <v>497</v>
      </c>
      <c r="D240" s="10" t="s">
        <v>89</v>
      </c>
      <c r="E240" s="10" t="s">
        <v>93</v>
      </c>
      <c r="F240" s="10" t="s">
        <v>2957</v>
      </c>
      <c r="G240" s="18">
        <f>919710596150</f>
        <v>919710596150</v>
      </c>
      <c r="H240" s="18">
        <f>919884670691</f>
        <v>919884670691</v>
      </c>
      <c r="I240" s="10" t="s">
        <v>170</v>
      </c>
      <c r="J240" s="10" t="s">
        <v>592</v>
      </c>
      <c r="K240" s="7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>
      <c r="A241" s="10" t="s">
        <v>2919</v>
      </c>
      <c r="B241" s="16">
        <v>40288</v>
      </c>
      <c r="C241" s="10" t="s">
        <v>173</v>
      </c>
      <c r="D241" s="10" t="s">
        <v>89</v>
      </c>
      <c r="E241" s="10" t="s">
        <v>93</v>
      </c>
      <c r="F241" s="10" t="s">
        <v>2958</v>
      </c>
      <c r="G241" s="18">
        <f>917305070420</f>
        <v>917305070420</v>
      </c>
      <c r="H241" s="18">
        <f>919699844878</f>
        <v>919699844878</v>
      </c>
      <c r="I241" s="10" t="s">
        <v>310</v>
      </c>
      <c r="J241" s="10" t="s">
        <v>2931</v>
      </c>
      <c r="K241" s="7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>
      <c r="A242" s="10" t="s">
        <v>2919</v>
      </c>
      <c r="B242" s="16">
        <v>39966</v>
      </c>
      <c r="C242" s="10" t="s">
        <v>154</v>
      </c>
      <c r="D242" s="10" t="s">
        <v>89</v>
      </c>
      <c r="E242" s="10" t="s">
        <v>155</v>
      </c>
      <c r="F242" s="10" t="s">
        <v>635</v>
      </c>
      <c r="G242" s="18">
        <f>919042684934</f>
        <v>919042684934</v>
      </c>
      <c r="H242" s="18">
        <f>919884841524</f>
        <v>919884841524</v>
      </c>
      <c r="I242" s="10" t="s">
        <v>170</v>
      </c>
      <c r="J242" s="10" t="s">
        <v>2888</v>
      </c>
      <c r="K242" s="7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>
      <c r="A243" s="10" t="s">
        <v>2919</v>
      </c>
      <c r="B243" s="16">
        <v>40496</v>
      </c>
      <c r="C243" s="10" t="s">
        <v>323</v>
      </c>
      <c r="D243" s="10" t="s">
        <v>89</v>
      </c>
      <c r="E243" s="10" t="s">
        <v>155</v>
      </c>
      <c r="F243" s="10" t="s">
        <v>2959</v>
      </c>
      <c r="G243" s="18">
        <f>919843563463</f>
        <v>919843563463</v>
      </c>
      <c r="H243" s="18">
        <f>919042944556</f>
        <v>919042944556</v>
      </c>
      <c r="I243" s="10" t="s">
        <v>170</v>
      </c>
      <c r="J243" s="10" t="s">
        <v>354</v>
      </c>
      <c r="K243" s="7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>
      <c r="A244" s="10" t="s">
        <v>2919</v>
      </c>
      <c r="B244" s="16">
        <v>40453</v>
      </c>
      <c r="C244" s="10" t="s">
        <v>507</v>
      </c>
      <c r="D244" s="10" t="s">
        <v>89</v>
      </c>
      <c r="E244" s="10" t="s">
        <v>216</v>
      </c>
      <c r="F244" s="10" t="s">
        <v>2960</v>
      </c>
      <c r="G244" s="7"/>
      <c r="H244" s="7"/>
      <c r="I244" s="10" t="s">
        <v>170</v>
      </c>
      <c r="J244" s="10" t="s">
        <v>1951</v>
      </c>
      <c r="K244" s="7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>
      <c r="A245" s="10" t="s">
        <v>2919</v>
      </c>
      <c r="B245" s="16">
        <v>40007</v>
      </c>
      <c r="C245" s="10" t="s">
        <v>215</v>
      </c>
      <c r="D245" s="10" t="s">
        <v>89</v>
      </c>
      <c r="E245" s="10" t="s">
        <v>216</v>
      </c>
      <c r="F245" s="10" t="s">
        <v>2961</v>
      </c>
      <c r="G245" s="18">
        <f>918500724716</f>
        <v>918500724716</v>
      </c>
      <c r="H245" s="18">
        <f>918106053535</f>
        <v>918106053535</v>
      </c>
      <c r="I245" s="10" t="s">
        <v>310</v>
      </c>
      <c r="J245" s="10" t="s">
        <v>678</v>
      </c>
      <c r="K245" s="7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>
      <c r="A246" s="10" t="s">
        <v>2919</v>
      </c>
      <c r="B246" s="16">
        <v>40430</v>
      </c>
      <c r="C246" s="10" t="s">
        <v>285</v>
      </c>
      <c r="D246" s="10" t="s">
        <v>89</v>
      </c>
      <c r="E246" s="10" t="s">
        <v>216</v>
      </c>
      <c r="F246" s="10" t="s">
        <v>2962</v>
      </c>
      <c r="G246" s="18">
        <f>919666695250</f>
        <v>919666695250</v>
      </c>
      <c r="H246" s="18">
        <f>919010176626</f>
        <v>919010176626</v>
      </c>
      <c r="I246" s="10" t="s">
        <v>170</v>
      </c>
      <c r="J246" s="10" t="s">
        <v>354</v>
      </c>
      <c r="K246" s="7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>
      <c r="A247" s="10" t="s">
        <v>2919</v>
      </c>
      <c r="B247" s="16">
        <v>39842</v>
      </c>
      <c r="C247" s="10" t="s">
        <v>517</v>
      </c>
      <c r="D247" s="10" t="s">
        <v>89</v>
      </c>
      <c r="E247" s="10" t="s">
        <v>81</v>
      </c>
      <c r="F247" s="10" t="s">
        <v>2893</v>
      </c>
      <c r="G247" s="18">
        <f>917536881829</f>
        <v>917536881829</v>
      </c>
      <c r="H247" s="18">
        <f>918679667689</f>
        <v>918679667689</v>
      </c>
      <c r="I247" s="10" t="s">
        <v>310</v>
      </c>
      <c r="J247" s="10" t="s">
        <v>354</v>
      </c>
      <c r="K247" s="7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>
      <c r="A248" s="10" t="s">
        <v>2919</v>
      </c>
      <c r="B248" s="10" t="s">
        <v>2963</v>
      </c>
      <c r="C248" s="10" t="s">
        <v>193</v>
      </c>
      <c r="D248" s="10" t="s">
        <v>89</v>
      </c>
      <c r="E248" s="10" t="s">
        <v>194</v>
      </c>
      <c r="F248" s="10" t="s">
        <v>2964</v>
      </c>
      <c r="G248" s="18">
        <v>8169252341</v>
      </c>
      <c r="H248" s="18">
        <v>9418084113</v>
      </c>
      <c r="I248" s="10" t="s">
        <v>131</v>
      </c>
      <c r="J248" s="10" t="s">
        <v>354</v>
      </c>
      <c r="K248" s="7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>
      <c r="A249" s="10" t="s">
        <v>2919</v>
      </c>
      <c r="B249" s="16">
        <v>40297</v>
      </c>
      <c r="C249" s="10" t="s">
        <v>528</v>
      </c>
      <c r="D249" s="10" t="s">
        <v>89</v>
      </c>
      <c r="E249" s="10" t="s">
        <v>337</v>
      </c>
      <c r="F249" s="10" t="s">
        <v>2965</v>
      </c>
      <c r="G249" s="18">
        <f>917409906305</f>
        <v>917409906305</v>
      </c>
      <c r="H249" s="18">
        <f>916399818809</f>
        <v>916399818809</v>
      </c>
      <c r="I249" s="10" t="s">
        <v>170</v>
      </c>
      <c r="J249" s="10" t="s">
        <v>1976</v>
      </c>
      <c r="K249" s="7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>
      <c r="A250" s="10" t="s">
        <v>2919</v>
      </c>
      <c r="B250" s="16">
        <v>40380</v>
      </c>
      <c r="C250" s="10" t="s">
        <v>335</v>
      </c>
      <c r="D250" s="10" t="s">
        <v>89</v>
      </c>
      <c r="E250" s="10" t="s">
        <v>337</v>
      </c>
      <c r="F250" s="10" t="s">
        <v>2966</v>
      </c>
      <c r="G250" s="18">
        <f>919450857716</f>
        <v>919450857716</v>
      </c>
      <c r="H250" s="18">
        <f>919258994748</f>
        <v>919258994748</v>
      </c>
      <c r="I250" s="10" t="s">
        <v>170</v>
      </c>
      <c r="J250" s="10" t="s">
        <v>2376</v>
      </c>
      <c r="K250" s="7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>
      <c r="A251" s="10" t="s">
        <v>2919</v>
      </c>
      <c r="B251" s="16">
        <v>40053</v>
      </c>
      <c r="C251" s="10" t="s">
        <v>403</v>
      </c>
      <c r="D251" s="10" t="s">
        <v>89</v>
      </c>
      <c r="E251" s="10" t="s">
        <v>148</v>
      </c>
      <c r="F251" s="10" t="s">
        <v>2967</v>
      </c>
      <c r="G251" s="18">
        <f>919406489501</f>
        <v>919406489501</v>
      </c>
      <c r="H251" s="18">
        <f>916267746131</f>
        <v>916267746131</v>
      </c>
      <c r="I251" s="10" t="s">
        <v>310</v>
      </c>
      <c r="J251" s="10" t="s">
        <v>2562</v>
      </c>
      <c r="K251" s="7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>
      <c r="A252" s="10" t="s">
        <v>2919</v>
      </c>
      <c r="B252" s="16">
        <v>40196</v>
      </c>
      <c r="C252" s="10" t="s">
        <v>484</v>
      </c>
      <c r="D252" s="10" t="s">
        <v>89</v>
      </c>
      <c r="E252" s="10" t="s">
        <v>301</v>
      </c>
      <c r="F252" s="10" t="s">
        <v>2968</v>
      </c>
      <c r="G252" s="18">
        <f>919811738848</f>
        <v>919811738848</v>
      </c>
      <c r="H252" s="18">
        <f>919811938857</f>
        <v>919811938857</v>
      </c>
      <c r="I252" s="10" t="s">
        <v>310</v>
      </c>
      <c r="J252" s="10" t="s">
        <v>592</v>
      </c>
      <c r="K252" s="7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>
      <c r="A253" s="10" t="s">
        <v>2919</v>
      </c>
      <c r="B253" s="16">
        <v>40154</v>
      </c>
      <c r="C253" s="10" t="s">
        <v>348</v>
      </c>
      <c r="D253" s="10" t="s">
        <v>89</v>
      </c>
      <c r="E253" s="10" t="s">
        <v>301</v>
      </c>
      <c r="F253" s="10" t="s">
        <v>458</v>
      </c>
      <c r="G253" s="10" t="s">
        <v>2969</v>
      </c>
      <c r="H253" s="18">
        <f>917988332928</f>
        <v>917988332928</v>
      </c>
      <c r="I253" s="18">
        <f>917290907494</f>
        <v>917290907494</v>
      </c>
      <c r="J253" s="10" t="s">
        <v>131</v>
      </c>
      <c r="K253" s="7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>
      <c r="A254" s="36" t="s">
        <v>2919</v>
      </c>
      <c r="B254" s="62" t="s">
        <v>457</v>
      </c>
      <c r="C254" s="38" t="s">
        <v>457</v>
      </c>
      <c r="D254" s="38" t="s">
        <v>89</v>
      </c>
      <c r="E254" s="36" t="s">
        <v>148</v>
      </c>
      <c r="F254" s="7"/>
      <c r="G254" s="7"/>
      <c r="H254" s="7"/>
      <c r="I254" s="7"/>
      <c r="J254" s="7"/>
      <c r="K254" s="7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>
      <c r="A255" s="10" t="s">
        <v>2919</v>
      </c>
      <c r="B255" s="16">
        <v>40154</v>
      </c>
      <c r="C255" s="7" t="s">
        <v>300</v>
      </c>
      <c r="D255" s="10" t="s">
        <v>89</v>
      </c>
      <c r="E255" s="10" t="s">
        <v>301</v>
      </c>
      <c r="F255" s="10" t="s">
        <v>458</v>
      </c>
      <c r="G255" s="10" t="s">
        <v>2969</v>
      </c>
      <c r="H255" s="18">
        <f>917988332928</f>
        <v>917988332928</v>
      </c>
      <c r="I255" s="18">
        <f>917290907494</f>
        <v>917290907494</v>
      </c>
      <c r="J255" s="10" t="s">
        <v>131</v>
      </c>
      <c r="K255" s="7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>
      <c r="A256" s="83" t="s">
        <v>2970</v>
      </c>
      <c r="B256" s="80"/>
      <c r="C256" s="80"/>
      <c r="D256" s="80"/>
      <c r="E256" s="81"/>
      <c r="F256" s="14"/>
      <c r="G256" s="14"/>
      <c r="H256" s="14"/>
      <c r="I256" s="14"/>
      <c r="J256" s="14"/>
      <c r="K256" s="14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>
      <c r="A257" s="41" t="s">
        <v>3</v>
      </c>
      <c r="B257" s="41" t="s">
        <v>2</v>
      </c>
      <c r="C257" s="41" t="s">
        <v>0</v>
      </c>
      <c r="D257" s="41" t="s">
        <v>2971</v>
      </c>
      <c r="E257" s="41" t="s">
        <v>5</v>
      </c>
      <c r="F257" s="2" t="s">
        <v>2972</v>
      </c>
      <c r="G257" s="2" t="s">
        <v>2973</v>
      </c>
      <c r="H257" s="2" t="s">
        <v>1685</v>
      </c>
      <c r="I257" s="2" t="s">
        <v>1687</v>
      </c>
      <c r="J257" s="2" t="s">
        <v>2974</v>
      </c>
      <c r="K257" s="7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>
      <c r="A258" s="10" t="s">
        <v>1709</v>
      </c>
      <c r="B258" s="10" t="s">
        <v>2975</v>
      </c>
      <c r="C258" s="10" t="s">
        <v>2670</v>
      </c>
      <c r="D258" s="10" t="s">
        <v>422</v>
      </c>
      <c r="E258" s="10" t="s">
        <v>112</v>
      </c>
      <c r="F258" s="10" t="s">
        <v>2976</v>
      </c>
      <c r="G258" s="63">
        <v>918100000000</v>
      </c>
      <c r="H258" s="18">
        <v>918639000000</v>
      </c>
      <c r="I258" s="10" t="s">
        <v>170</v>
      </c>
      <c r="J258" s="10" t="s">
        <v>354</v>
      </c>
      <c r="K258" s="7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>
      <c r="A259" s="10" t="s">
        <v>1709</v>
      </c>
      <c r="B259" s="16">
        <v>38224</v>
      </c>
      <c r="C259" s="10" t="s">
        <v>2094</v>
      </c>
      <c r="D259" s="10" t="s">
        <v>422</v>
      </c>
      <c r="E259" s="10" t="s">
        <v>540</v>
      </c>
      <c r="F259" s="10" t="s">
        <v>2977</v>
      </c>
      <c r="G259" s="18">
        <f>919073925804</f>
        <v>919073925804</v>
      </c>
      <c r="H259" s="18">
        <f>919330025804</f>
        <v>919330025804</v>
      </c>
      <c r="I259" s="10" t="s">
        <v>131</v>
      </c>
      <c r="J259" s="10" t="s">
        <v>592</v>
      </c>
      <c r="K259" s="7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>
      <c r="A260" s="10" t="s">
        <v>1709</v>
      </c>
      <c r="B260" s="16">
        <v>38544</v>
      </c>
      <c r="C260" s="10" t="s">
        <v>2674</v>
      </c>
      <c r="D260" s="10" t="s">
        <v>422</v>
      </c>
      <c r="E260" s="10" t="s">
        <v>148</v>
      </c>
      <c r="F260" s="10" t="s">
        <v>2978</v>
      </c>
      <c r="G260" s="18">
        <f>919167937056</f>
        <v>919167937056</v>
      </c>
      <c r="H260" s="18">
        <f>917974542908</f>
        <v>917974542908</v>
      </c>
      <c r="I260" s="10" t="s">
        <v>170</v>
      </c>
      <c r="J260" s="10" t="s">
        <v>354</v>
      </c>
      <c r="K260" s="7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>
      <c r="A261" s="10" t="s">
        <v>1709</v>
      </c>
      <c r="B261" s="16">
        <v>39279</v>
      </c>
      <c r="C261" s="10" t="s">
        <v>2628</v>
      </c>
      <c r="D261" s="10" t="s">
        <v>422</v>
      </c>
      <c r="E261" s="10" t="s">
        <v>54</v>
      </c>
      <c r="F261" s="10" t="s">
        <v>2979</v>
      </c>
      <c r="G261" s="18">
        <f>917984790072</f>
        <v>917984790072</v>
      </c>
      <c r="H261" s="18">
        <f>919920965581</f>
        <v>919920965581</v>
      </c>
      <c r="I261" s="10" t="s">
        <v>1767</v>
      </c>
      <c r="J261" s="10" t="s">
        <v>354</v>
      </c>
      <c r="K261" s="7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>
      <c r="A262" s="10" t="s">
        <v>1709</v>
      </c>
      <c r="B262" s="16">
        <v>38923</v>
      </c>
      <c r="C262" s="10" t="s">
        <v>1740</v>
      </c>
      <c r="D262" s="10" t="s">
        <v>422</v>
      </c>
      <c r="E262" s="10" t="s">
        <v>798</v>
      </c>
      <c r="F262" s="10" t="s">
        <v>1747</v>
      </c>
      <c r="G262" s="18">
        <f>917419500947</f>
        <v>917419500947</v>
      </c>
      <c r="H262" s="18">
        <f>917419147148</f>
        <v>917419147148</v>
      </c>
      <c r="I262" s="10" t="s">
        <v>170</v>
      </c>
      <c r="J262" s="10" t="s">
        <v>354</v>
      </c>
      <c r="K262" s="7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>
      <c r="A263" s="10" t="s">
        <v>1709</v>
      </c>
      <c r="B263" s="16">
        <v>39144</v>
      </c>
      <c r="C263" s="10" t="s">
        <v>1725</v>
      </c>
      <c r="D263" s="10" t="s">
        <v>422</v>
      </c>
      <c r="E263" s="10" t="s">
        <v>26</v>
      </c>
      <c r="F263" s="10" t="s">
        <v>1731</v>
      </c>
      <c r="G263" s="63">
        <v>919302000000</v>
      </c>
      <c r="H263" s="18">
        <v>917000000000</v>
      </c>
      <c r="I263" s="10" t="s">
        <v>170</v>
      </c>
      <c r="J263" s="10" t="s">
        <v>2562</v>
      </c>
      <c r="K263" s="7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>
      <c r="A264" s="10" t="s">
        <v>1709</v>
      </c>
      <c r="B264" s="16">
        <v>37937</v>
      </c>
      <c r="C264" s="10" t="s">
        <v>2980</v>
      </c>
      <c r="D264" s="10" t="s">
        <v>422</v>
      </c>
      <c r="E264" s="10" t="s">
        <v>908</v>
      </c>
      <c r="F264" s="10" t="s">
        <v>915</v>
      </c>
      <c r="G264" s="18">
        <f>919366829012</f>
        <v>919366829012</v>
      </c>
      <c r="H264" s="18">
        <f>919233211747</f>
        <v>919233211747</v>
      </c>
      <c r="I264" s="10" t="s">
        <v>170</v>
      </c>
      <c r="J264" s="10" t="s">
        <v>354</v>
      </c>
      <c r="K264" s="7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>
      <c r="A265" s="10" t="s">
        <v>1709</v>
      </c>
      <c r="B265" s="10" t="s">
        <v>2981</v>
      </c>
      <c r="C265" s="10" t="s">
        <v>2637</v>
      </c>
      <c r="D265" s="10" t="s">
        <v>422</v>
      </c>
      <c r="E265" s="10" t="s">
        <v>216</v>
      </c>
      <c r="F265" s="10" t="s">
        <v>2982</v>
      </c>
      <c r="G265" s="63">
        <v>917094000000</v>
      </c>
      <c r="H265" s="18">
        <v>919704000000</v>
      </c>
      <c r="I265" s="10" t="s">
        <v>170</v>
      </c>
      <c r="J265" s="10" t="s">
        <v>2983</v>
      </c>
      <c r="K265" s="7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>
      <c r="A266" s="10" t="s">
        <v>1709</v>
      </c>
      <c r="B266" s="10" t="s">
        <v>2984</v>
      </c>
      <c r="C266" s="10" t="s">
        <v>2642</v>
      </c>
      <c r="D266" s="10" t="s">
        <v>422</v>
      </c>
      <c r="E266" s="10" t="s">
        <v>216</v>
      </c>
      <c r="F266" s="10" t="s">
        <v>2985</v>
      </c>
      <c r="G266" s="63">
        <v>918420000000</v>
      </c>
      <c r="H266" s="18">
        <v>918336000000</v>
      </c>
      <c r="I266" s="10" t="s">
        <v>131</v>
      </c>
      <c r="J266" s="10" t="s">
        <v>1951</v>
      </c>
      <c r="K266" s="7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>
      <c r="A267" s="10" t="s">
        <v>1709</v>
      </c>
      <c r="B267" s="16">
        <v>39414</v>
      </c>
      <c r="C267" s="10" t="s">
        <v>2676</v>
      </c>
      <c r="D267" s="10" t="s">
        <v>422</v>
      </c>
      <c r="E267" s="10" t="s">
        <v>2537</v>
      </c>
      <c r="F267" s="10" t="s">
        <v>2986</v>
      </c>
      <c r="G267" s="18">
        <f>919436580515</f>
        <v>919436580515</v>
      </c>
      <c r="H267" s="18">
        <f t="shared" ref="H267:H268" si="21">919436459395</f>
        <v>919436459395</v>
      </c>
      <c r="I267" s="10" t="s">
        <v>170</v>
      </c>
      <c r="J267" s="10" t="s">
        <v>354</v>
      </c>
      <c r="K267" s="7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>
      <c r="A268" s="10" t="s">
        <v>1709</v>
      </c>
      <c r="B268" s="16">
        <v>38797</v>
      </c>
      <c r="C268" s="10" t="s">
        <v>2665</v>
      </c>
      <c r="D268" s="10" t="s">
        <v>422</v>
      </c>
      <c r="E268" s="10" t="s">
        <v>2537</v>
      </c>
      <c r="F268" s="10" t="s">
        <v>2987</v>
      </c>
      <c r="G268" s="18">
        <f>919089020126</f>
        <v>919089020126</v>
      </c>
      <c r="H268" s="18">
        <f t="shared" si="21"/>
        <v>919436459395</v>
      </c>
      <c r="I268" s="10" t="s">
        <v>170</v>
      </c>
      <c r="J268" s="10" t="s">
        <v>354</v>
      </c>
      <c r="K268" s="7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>
      <c r="A269" s="10" t="s">
        <v>1709</v>
      </c>
      <c r="B269" s="16">
        <v>39405</v>
      </c>
      <c r="C269" s="10" t="s">
        <v>2658</v>
      </c>
      <c r="D269" s="10" t="s">
        <v>422</v>
      </c>
      <c r="E269" s="10" t="s">
        <v>624</v>
      </c>
      <c r="F269" s="10" t="s">
        <v>2988</v>
      </c>
      <c r="G269" s="18">
        <f>919674088249</f>
        <v>919674088249</v>
      </c>
      <c r="H269" s="18">
        <f>916290767606</f>
        <v>916290767606</v>
      </c>
      <c r="I269" s="10" t="s">
        <v>170</v>
      </c>
      <c r="J269" s="10" t="s">
        <v>2899</v>
      </c>
      <c r="K269" s="7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>
      <c r="A270" s="10" t="s">
        <v>1709</v>
      </c>
      <c r="B270" s="16">
        <v>39818</v>
      </c>
      <c r="C270" s="10" t="s">
        <v>2989</v>
      </c>
      <c r="D270" s="10" t="s">
        <v>422</v>
      </c>
      <c r="E270" s="10" t="s">
        <v>36</v>
      </c>
      <c r="F270" s="10" t="s">
        <v>2990</v>
      </c>
      <c r="G270" s="18">
        <f>919923910579</f>
        <v>919923910579</v>
      </c>
      <c r="H270" s="18">
        <f>919923400594</f>
        <v>919923400594</v>
      </c>
      <c r="I270" s="10" t="s">
        <v>1767</v>
      </c>
      <c r="J270" s="10" t="s">
        <v>592</v>
      </c>
      <c r="K270" s="7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>
      <c r="A271" s="10" t="s">
        <v>1709</v>
      </c>
      <c r="B271" s="16">
        <v>38702</v>
      </c>
      <c r="C271" s="10" t="s">
        <v>1711</v>
      </c>
      <c r="D271" s="10" t="s">
        <v>422</v>
      </c>
      <c r="E271" s="10" t="s">
        <v>36</v>
      </c>
      <c r="F271" s="10" t="s">
        <v>1716</v>
      </c>
      <c r="G271" s="18">
        <f>918999667349</f>
        <v>918999667349</v>
      </c>
      <c r="H271" s="18">
        <f>919764003660</f>
        <v>919764003660</v>
      </c>
      <c r="I271" s="10" t="s">
        <v>170</v>
      </c>
      <c r="J271" s="10" t="s">
        <v>354</v>
      </c>
      <c r="K271" s="7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>
      <c r="A272" s="10" t="s">
        <v>1709</v>
      </c>
      <c r="B272" s="16">
        <v>38191</v>
      </c>
      <c r="C272" s="10" t="s">
        <v>2680</v>
      </c>
      <c r="D272" s="10" t="s">
        <v>422</v>
      </c>
      <c r="E272" s="10" t="s">
        <v>93</v>
      </c>
      <c r="F272" s="10" t="s">
        <v>2991</v>
      </c>
      <c r="G272" s="18">
        <f>919500020723</f>
        <v>919500020723</v>
      </c>
      <c r="H272" s="18">
        <f>919962769952</f>
        <v>919962769952</v>
      </c>
      <c r="I272" s="10" t="s">
        <v>170</v>
      </c>
      <c r="J272" s="10" t="s">
        <v>678</v>
      </c>
      <c r="K272" s="7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>
      <c r="A273" s="10" t="s">
        <v>1709</v>
      </c>
      <c r="B273" s="16">
        <v>39637</v>
      </c>
      <c r="C273" s="10" t="s">
        <v>2653</v>
      </c>
      <c r="D273" s="10" t="s">
        <v>422</v>
      </c>
      <c r="E273" s="10" t="s">
        <v>2432</v>
      </c>
      <c r="F273" s="10" t="s">
        <v>2992</v>
      </c>
      <c r="G273" s="18">
        <f>918547968113</f>
        <v>918547968113</v>
      </c>
      <c r="H273" s="18">
        <f>919745122153</f>
        <v>919745122153</v>
      </c>
      <c r="I273" s="10" t="s">
        <v>131</v>
      </c>
      <c r="J273" s="10" t="s">
        <v>2993</v>
      </c>
      <c r="K273" s="7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>
      <c r="A274" s="10" t="s">
        <v>1709</v>
      </c>
      <c r="B274" s="16">
        <v>39008</v>
      </c>
      <c r="C274" s="10" t="s">
        <v>2647</v>
      </c>
      <c r="D274" s="10" t="s">
        <v>422</v>
      </c>
      <c r="E274" s="10" t="s">
        <v>155</v>
      </c>
      <c r="F274" s="10" t="s">
        <v>2994</v>
      </c>
      <c r="G274" s="18">
        <f>919042440231</f>
        <v>919042440231</v>
      </c>
      <c r="H274" s="18">
        <f>919884547189</f>
        <v>919884547189</v>
      </c>
      <c r="I274" s="10" t="s">
        <v>131</v>
      </c>
      <c r="J274" s="10" t="s">
        <v>678</v>
      </c>
      <c r="K274" s="7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>
      <c r="A275" s="10" t="s">
        <v>1709</v>
      </c>
      <c r="B275" s="10" t="s">
        <v>2995</v>
      </c>
      <c r="C275" s="10" t="s">
        <v>2794</v>
      </c>
      <c r="D275" s="10" t="s">
        <v>89</v>
      </c>
      <c r="E275" s="10" t="s">
        <v>112</v>
      </c>
      <c r="F275" s="10" t="s">
        <v>2996</v>
      </c>
      <c r="G275" s="63">
        <v>916002000000</v>
      </c>
      <c r="H275" s="18">
        <v>916001000000</v>
      </c>
      <c r="I275" s="10" t="s">
        <v>170</v>
      </c>
      <c r="J275" s="10" t="s">
        <v>354</v>
      </c>
      <c r="K275" s="7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>
      <c r="A276" s="10" t="s">
        <v>1709</v>
      </c>
      <c r="B276" s="16">
        <v>39519</v>
      </c>
      <c r="C276" s="10" t="s">
        <v>2758</v>
      </c>
      <c r="D276" s="10" t="s">
        <v>89</v>
      </c>
      <c r="E276" s="10" t="s">
        <v>258</v>
      </c>
      <c r="F276" s="10" t="s">
        <v>2997</v>
      </c>
      <c r="G276" s="18">
        <f t="shared" ref="G276:H276" si="22">919588727487</f>
        <v>919588727487</v>
      </c>
      <c r="H276" s="18">
        <f t="shared" si="22"/>
        <v>919588727487</v>
      </c>
      <c r="I276" s="10" t="s">
        <v>170</v>
      </c>
      <c r="J276" s="10" t="s">
        <v>354</v>
      </c>
      <c r="K276" s="7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>
      <c r="A277" s="10" t="s">
        <v>1709</v>
      </c>
      <c r="B277" s="16">
        <v>38905</v>
      </c>
      <c r="C277" s="10" t="s">
        <v>2732</v>
      </c>
      <c r="D277" s="10" t="s">
        <v>89</v>
      </c>
      <c r="E277" s="10" t="s">
        <v>258</v>
      </c>
      <c r="F277" s="10" t="s">
        <v>2998</v>
      </c>
      <c r="G277" s="18">
        <f>919811898782</f>
        <v>919811898782</v>
      </c>
      <c r="H277" s="18">
        <f>917015948660</f>
        <v>917015948660</v>
      </c>
      <c r="I277" s="10" t="s">
        <v>170</v>
      </c>
      <c r="J277" s="10" t="s">
        <v>354</v>
      </c>
      <c r="K277" s="7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>
      <c r="A278" s="10" t="s">
        <v>1709</v>
      </c>
      <c r="B278" s="16">
        <v>39304</v>
      </c>
      <c r="C278" s="10" t="s">
        <v>2789</v>
      </c>
      <c r="D278" s="10" t="s">
        <v>89</v>
      </c>
      <c r="E278" s="10" t="s">
        <v>148</v>
      </c>
      <c r="F278" s="10" t="s">
        <v>2999</v>
      </c>
      <c r="G278" s="18">
        <f>918319842468</f>
        <v>918319842468</v>
      </c>
      <c r="H278" s="18">
        <f t="shared" ref="H278:H279" si="23">919669255401</f>
        <v>919669255401</v>
      </c>
      <c r="I278" s="10" t="s">
        <v>310</v>
      </c>
      <c r="J278" s="10" t="s">
        <v>3000</v>
      </c>
      <c r="K278" s="7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>
      <c r="A279" s="10" t="s">
        <v>1709</v>
      </c>
      <c r="B279" s="16">
        <v>39425</v>
      </c>
      <c r="C279" s="10" t="s">
        <v>2840</v>
      </c>
      <c r="D279" s="10" t="s">
        <v>89</v>
      </c>
      <c r="E279" s="10" t="s">
        <v>148</v>
      </c>
      <c r="F279" s="10" t="s">
        <v>3001</v>
      </c>
      <c r="G279" s="18">
        <f>919617241267</f>
        <v>919617241267</v>
      </c>
      <c r="H279" s="18">
        <f t="shared" si="23"/>
        <v>919669255401</v>
      </c>
      <c r="I279" s="10" t="s">
        <v>170</v>
      </c>
      <c r="J279" s="10" t="s">
        <v>3000</v>
      </c>
      <c r="K279" s="7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>
      <c r="A280" s="10" t="s">
        <v>1709</v>
      </c>
      <c r="B280" s="16">
        <v>39341</v>
      </c>
      <c r="C280" s="10" t="s">
        <v>2768</v>
      </c>
      <c r="D280" s="10" t="s">
        <v>89</v>
      </c>
      <c r="E280" s="10" t="s">
        <v>148</v>
      </c>
      <c r="F280" s="10" t="s">
        <v>3002</v>
      </c>
      <c r="G280" s="18">
        <f>919669255401</f>
        <v>919669255401</v>
      </c>
      <c r="H280" s="18">
        <f>917898551213</f>
        <v>917898551213</v>
      </c>
      <c r="I280" s="10" t="s">
        <v>131</v>
      </c>
      <c r="J280" s="10" t="s">
        <v>3000</v>
      </c>
      <c r="K280" s="7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>
      <c r="A281" s="10" t="s">
        <v>1709</v>
      </c>
      <c r="B281" s="16">
        <v>38245</v>
      </c>
      <c r="C281" s="10" t="s">
        <v>2773</v>
      </c>
      <c r="D281" s="10" t="s">
        <v>89</v>
      </c>
      <c r="E281" s="10" t="s">
        <v>2505</v>
      </c>
      <c r="F281" s="10" t="s">
        <v>3003</v>
      </c>
      <c r="G281" s="18">
        <f>919322633829</f>
        <v>919322633829</v>
      </c>
      <c r="H281" s="18">
        <f>919822127201</f>
        <v>919822127201</v>
      </c>
      <c r="I281" s="10" t="s">
        <v>131</v>
      </c>
      <c r="J281" s="10" t="s">
        <v>2983</v>
      </c>
      <c r="K281" s="7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>
      <c r="A282" s="10" t="s">
        <v>1709</v>
      </c>
      <c r="B282" s="10" t="s">
        <v>3004</v>
      </c>
      <c r="C282" s="10" t="s">
        <v>2738</v>
      </c>
      <c r="D282" s="10" t="s">
        <v>89</v>
      </c>
      <c r="E282" s="10" t="s">
        <v>798</v>
      </c>
      <c r="F282" s="10" t="s">
        <v>3005</v>
      </c>
      <c r="G282" s="63">
        <v>919993000000</v>
      </c>
      <c r="H282" s="18">
        <v>919812000000</v>
      </c>
      <c r="I282" s="10" t="s">
        <v>170</v>
      </c>
      <c r="J282" s="10" t="s">
        <v>3006</v>
      </c>
      <c r="K282" s="7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>
      <c r="A283" s="10" t="s">
        <v>1709</v>
      </c>
      <c r="B283" s="16">
        <v>38736</v>
      </c>
      <c r="C283" s="10" t="s">
        <v>2695</v>
      </c>
      <c r="D283" s="10" t="s">
        <v>89</v>
      </c>
      <c r="E283" s="10" t="s">
        <v>798</v>
      </c>
      <c r="F283" s="10" t="s">
        <v>3007</v>
      </c>
      <c r="G283" s="18">
        <f>918396069222</f>
        <v>918396069222</v>
      </c>
      <c r="H283" s="18">
        <f>917056438176</f>
        <v>917056438176</v>
      </c>
      <c r="I283" s="10" t="s">
        <v>170</v>
      </c>
      <c r="J283" s="10" t="s">
        <v>312</v>
      </c>
      <c r="K283" s="7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>
      <c r="A284" s="10" t="s">
        <v>1709</v>
      </c>
      <c r="B284" s="16">
        <v>39551</v>
      </c>
      <c r="C284" s="10" t="s">
        <v>2805</v>
      </c>
      <c r="D284" s="10" t="s">
        <v>89</v>
      </c>
      <c r="E284" s="10" t="s">
        <v>2432</v>
      </c>
      <c r="F284" s="10" t="s">
        <v>3008</v>
      </c>
      <c r="G284" s="18">
        <f t="shared" ref="G284:H284" si="24">919846818978</f>
        <v>919846818978</v>
      </c>
      <c r="H284" s="18">
        <f t="shared" si="24"/>
        <v>919846818978</v>
      </c>
      <c r="I284" s="10" t="s">
        <v>310</v>
      </c>
      <c r="J284" s="10" t="s">
        <v>2071</v>
      </c>
      <c r="K284" s="7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>
      <c r="A285" s="10" t="s">
        <v>1709</v>
      </c>
      <c r="B285" s="16">
        <v>39363</v>
      </c>
      <c r="C285" s="10" t="s">
        <v>2835</v>
      </c>
      <c r="D285" s="10" t="s">
        <v>89</v>
      </c>
      <c r="E285" s="10" t="s">
        <v>2432</v>
      </c>
      <c r="F285" s="10" t="s">
        <v>3009</v>
      </c>
      <c r="G285" s="18">
        <f t="shared" ref="G285:H285" si="25">917560883045</f>
        <v>917560883045</v>
      </c>
      <c r="H285" s="18">
        <f t="shared" si="25"/>
        <v>917560883045</v>
      </c>
      <c r="I285" s="10" t="s">
        <v>310</v>
      </c>
      <c r="J285" s="10" t="s">
        <v>1976</v>
      </c>
      <c r="K285" s="7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>
      <c r="A286" s="10" t="s">
        <v>1709</v>
      </c>
      <c r="B286" s="10" t="s">
        <v>3010</v>
      </c>
      <c r="C286" s="10" t="s">
        <v>2721</v>
      </c>
      <c r="D286" s="10" t="s">
        <v>89</v>
      </c>
      <c r="E286" s="10" t="s">
        <v>26</v>
      </c>
      <c r="F286" s="10" t="s">
        <v>2880</v>
      </c>
      <c r="G286" s="63">
        <v>917000000000</v>
      </c>
      <c r="H286" s="18">
        <v>917000000000</v>
      </c>
      <c r="I286" s="10" t="s">
        <v>170</v>
      </c>
      <c r="J286" s="10" t="s">
        <v>3011</v>
      </c>
      <c r="K286" s="7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>
      <c r="A287" s="10" t="s">
        <v>1709</v>
      </c>
      <c r="B287" s="16">
        <v>39403</v>
      </c>
      <c r="C287" s="10" t="s">
        <v>1792</v>
      </c>
      <c r="D287" s="10" t="s">
        <v>89</v>
      </c>
      <c r="E287" s="10" t="s">
        <v>45</v>
      </c>
      <c r="F287" s="10" t="s">
        <v>1797</v>
      </c>
      <c r="G287" s="18">
        <f t="shared" ref="G287:H287" si="26">919863463529</f>
        <v>919863463529</v>
      </c>
      <c r="H287" s="18">
        <f t="shared" si="26"/>
        <v>919863463529</v>
      </c>
      <c r="I287" s="10" t="s">
        <v>131</v>
      </c>
      <c r="J287" s="10" t="s">
        <v>2952</v>
      </c>
      <c r="K287" s="7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>
      <c r="A288" s="10" t="s">
        <v>1709</v>
      </c>
      <c r="B288" s="16">
        <v>38805</v>
      </c>
      <c r="C288" s="10" t="s">
        <v>3012</v>
      </c>
      <c r="D288" s="10" t="s">
        <v>89</v>
      </c>
      <c r="E288" s="10" t="s">
        <v>908</v>
      </c>
      <c r="F288" s="10" t="s">
        <v>3013</v>
      </c>
      <c r="G288" s="18">
        <f>919485154268</f>
        <v>919485154268</v>
      </c>
      <c r="H288" s="18">
        <f>916296152219</f>
        <v>916296152219</v>
      </c>
      <c r="I288" s="10" t="s">
        <v>170</v>
      </c>
      <c r="J288" s="10" t="s">
        <v>354</v>
      </c>
      <c r="K288" s="7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>
      <c r="A289" s="10" t="s">
        <v>1709</v>
      </c>
      <c r="B289" s="16">
        <v>39162</v>
      </c>
      <c r="C289" s="10" t="s">
        <v>2763</v>
      </c>
      <c r="D289" s="10" t="s">
        <v>89</v>
      </c>
      <c r="E289" s="10" t="s">
        <v>1760</v>
      </c>
      <c r="F289" s="10" t="s">
        <v>3014</v>
      </c>
      <c r="G289" s="18">
        <f>919125198852</f>
        <v>919125198852</v>
      </c>
      <c r="H289" s="18">
        <f>919463016084</f>
        <v>919463016084</v>
      </c>
      <c r="I289" s="10" t="s">
        <v>310</v>
      </c>
      <c r="J289" s="10" t="s">
        <v>354</v>
      </c>
      <c r="K289" s="7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>
      <c r="A290" s="10" t="s">
        <v>1709</v>
      </c>
      <c r="B290" s="16">
        <v>38150</v>
      </c>
      <c r="C290" s="10" t="s">
        <v>2754</v>
      </c>
      <c r="D290" s="10" t="s">
        <v>89</v>
      </c>
      <c r="E290" s="10" t="s">
        <v>241</v>
      </c>
      <c r="F290" s="10" t="s">
        <v>3015</v>
      </c>
      <c r="G290" s="18">
        <f>917891005470</f>
        <v>917891005470</v>
      </c>
      <c r="H290" s="18">
        <f>919950618834</f>
        <v>919950618834</v>
      </c>
      <c r="I290" s="10" t="s">
        <v>310</v>
      </c>
      <c r="J290" s="10" t="s">
        <v>3016</v>
      </c>
      <c r="K290" s="7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>
      <c r="A291" s="10" t="s">
        <v>1709</v>
      </c>
      <c r="B291" s="16">
        <v>38764</v>
      </c>
      <c r="C291" s="10" t="s">
        <v>2800</v>
      </c>
      <c r="D291" s="10" t="s">
        <v>89</v>
      </c>
      <c r="E291" s="10" t="s">
        <v>241</v>
      </c>
      <c r="F291" s="10" t="s">
        <v>3017</v>
      </c>
      <c r="G291" s="18">
        <f>918005730591</f>
        <v>918005730591</v>
      </c>
      <c r="H291" s="18">
        <f>917297991644</f>
        <v>917297991644</v>
      </c>
      <c r="I291" s="10" t="s">
        <v>248</v>
      </c>
      <c r="J291" s="10" t="s">
        <v>354</v>
      </c>
      <c r="K291" s="7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>
      <c r="A292" s="10" t="s">
        <v>1709</v>
      </c>
      <c r="B292" s="10" t="s">
        <v>3018</v>
      </c>
      <c r="C292" s="10" t="s">
        <v>2726</v>
      </c>
      <c r="D292" s="10" t="s">
        <v>89</v>
      </c>
      <c r="E292" s="10" t="s">
        <v>216</v>
      </c>
      <c r="F292" s="10" t="s">
        <v>3019</v>
      </c>
      <c r="G292" s="63">
        <v>919033000000</v>
      </c>
      <c r="H292" s="18">
        <v>917075000000</v>
      </c>
      <c r="I292" s="10" t="s">
        <v>310</v>
      </c>
      <c r="J292" s="10" t="s">
        <v>678</v>
      </c>
      <c r="K292" s="7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>
      <c r="A293" s="10" t="s">
        <v>1709</v>
      </c>
      <c r="B293" s="57">
        <v>39789</v>
      </c>
      <c r="C293" s="10" t="s">
        <v>2850</v>
      </c>
      <c r="D293" s="10" t="s">
        <v>89</v>
      </c>
      <c r="E293" s="10" t="s">
        <v>216</v>
      </c>
      <c r="F293" s="10" t="s">
        <v>2589</v>
      </c>
      <c r="G293" s="7"/>
      <c r="H293" s="7"/>
      <c r="I293" s="10" t="s">
        <v>248</v>
      </c>
      <c r="J293" s="10" t="s">
        <v>3020</v>
      </c>
      <c r="K293" s="7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>
      <c r="A294" s="10" t="s">
        <v>1709</v>
      </c>
      <c r="B294" s="10" t="s">
        <v>3021</v>
      </c>
      <c r="C294" s="10" t="s">
        <v>2860</v>
      </c>
      <c r="D294" s="10" t="s">
        <v>89</v>
      </c>
      <c r="E294" s="10" t="s">
        <v>1970</v>
      </c>
      <c r="F294" s="10" t="s">
        <v>3022</v>
      </c>
      <c r="G294" s="63">
        <v>916282000000</v>
      </c>
      <c r="H294" s="18">
        <v>919053000000</v>
      </c>
      <c r="I294" s="10" t="s">
        <v>170</v>
      </c>
      <c r="J294" s="10" t="s">
        <v>678</v>
      </c>
      <c r="K294" s="7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>
      <c r="A295" s="10" t="s">
        <v>1709</v>
      </c>
      <c r="B295" s="21">
        <v>38862</v>
      </c>
      <c r="C295" s="10" t="s">
        <v>2810</v>
      </c>
      <c r="D295" s="10" t="s">
        <v>89</v>
      </c>
      <c r="E295" s="10" t="s">
        <v>2537</v>
      </c>
      <c r="F295" s="10" t="s">
        <v>3023</v>
      </c>
      <c r="G295" s="18">
        <f>916909814281</f>
        <v>916909814281</v>
      </c>
      <c r="H295" s="18">
        <f t="shared" ref="H295:H297" si="27">919436459395</f>
        <v>919436459395</v>
      </c>
      <c r="I295" s="10" t="s">
        <v>310</v>
      </c>
      <c r="J295" s="10" t="s">
        <v>354</v>
      </c>
      <c r="K295" s="7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>
      <c r="A296" s="10" t="s">
        <v>1709</v>
      </c>
      <c r="B296" s="16">
        <v>39459</v>
      </c>
      <c r="C296" s="10" t="s">
        <v>2825</v>
      </c>
      <c r="D296" s="10" t="s">
        <v>89</v>
      </c>
      <c r="E296" s="10" t="s">
        <v>2537</v>
      </c>
      <c r="F296" s="10" t="s">
        <v>3024</v>
      </c>
      <c r="G296" s="18">
        <f>919774803617</f>
        <v>919774803617</v>
      </c>
      <c r="H296" s="18">
        <f t="shared" si="27"/>
        <v>919436459395</v>
      </c>
      <c r="I296" s="10" t="s">
        <v>310</v>
      </c>
      <c r="J296" s="10" t="s">
        <v>354</v>
      </c>
      <c r="K296" s="7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>
      <c r="A297" s="10" t="s">
        <v>1709</v>
      </c>
      <c r="B297" s="16">
        <v>40231</v>
      </c>
      <c r="C297" s="10" t="s">
        <v>2820</v>
      </c>
      <c r="D297" s="10" t="s">
        <v>89</v>
      </c>
      <c r="E297" s="10" t="s">
        <v>2537</v>
      </c>
      <c r="F297" s="10" t="s">
        <v>3025</v>
      </c>
      <c r="G297" s="18">
        <f>918787449415</f>
        <v>918787449415</v>
      </c>
      <c r="H297" s="18">
        <f t="shared" si="27"/>
        <v>919436459395</v>
      </c>
      <c r="I297" s="10" t="s">
        <v>310</v>
      </c>
      <c r="J297" s="10" t="s">
        <v>354</v>
      </c>
      <c r="K297" s="7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>
      <c r="A298" s="10" t="s">
        <v>1709</v>
      </c>
      <c r="B298" s="57">
        <v>38388</v>
      </c>
      <c r="C298" s="10" t="s">
        <v>2830</v>
      </c>
      <c r="D298" s="10" t="s">
        <v>89</v>
      </c>
      <c r="E298" s="10" t="s">
        <v>194</v>
      </c>
      <c r="F298" s="10" t="s">
        <v>3026</v>
      </c>
      <c r="G298" s="63">
        <v>917992000000</v>
      </c>
      <c r="H298" s="18">
        <v>918533000000</v>
      </c>
      <c r="I298" s="10" t="s">
        <v>310</v>
      </c>
      <c r="J298" s="10" t="s">
        <v>312</v>
      </c>
      <c r="K298" s="7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>
      <c r="A299" s="10" t="s">
        <v>1709</v>
      </c>
      <c r="B299" s="57">
        <v>38088</v>
      </c>
      <c r="C299" s="10" t="s">
        <v>2889</v>
      </c>
      <c r="D299" s="10" t="s">
        <v>89</v>
      </c>
      <c r="E299" s="10" t="s">
        <v>194</v>
      </c>
      <c r="F299" s="10" t="s">
        <v>3027</v>
      </c>
      <c r="G299" s="63">
        <v>919650000000</v>
      </c>
      <c r="H299" s="18">
        <v>919871000000</v>
      </c>
      <c r="I299" s="10" t="s">
        <v>248</v>
      </c>
      <c r="J299" s="10" t="s">
        <v>2983</v>
      </c>
      <c r="K299" s="7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>
      <c r="A300" s="10" t="s">
        <v>1709</v>
      </c>
      <c r="B300" s="16">
        <v>39612</v>
      </c>
      <c r="C300" s="10" t="s">
        <v>2866</v>
      </c>
      <c r="D300" s="10" t="s">
        <v>89</v>
      </c>
      <c r="E300" s="10" t="s">
        <v>624</v>
      </c>
      <c r="F300" s="10" t="s">
        <v>3028</v>
      </c>
      <c r="G300" s="18">
        <f t="shared" ref="G300:H300" si="28">918100115721</f>
        <v>918100115721</v>
      </c>
      <c r="H300" s="18">
        <f t="shared" si="28"/>
        <v>918100115721</v>
      </c>
      <c r="I300" s="10" t="s">
        <v>170</v>
      </c>
      <c r="J300" s="10" t="s">
        <v>2899</v>
      </c>
      <c r="K300" s="7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>
      <c r="A301" s="10" t="s">
        <v>1709</v>
      </c>
      <c r="B301" s="16">
        <v>38086</v>
      </c>
      <c r="C301" s="10" t="s">
        <v>2845</v>
      </c>
      <c r="D301" s="10" t="s">
        <v>89</v>
      </c>
      <c r="E301" s="10" t="s">
        <v>624</v>
      </c>
      <c r="F301" s="10" t="s">
        <v>3029</v>
      </c>
      <c r="G301" s="18">
        <f>916290509849</f>
        <v>916290509849</v>
      </c>
      <c r="H301" s="18">
        <f>917980925406</f>
        <v>917980925406</v>
      </c>
      <c r="I301" s="10" t="s">
        <v>310</v>
      </c>
      <c r="J301" s="10" t="s">
        <v>2899</v>
      </c>
      <c r="K301" s="7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>
      <c r="A302" s="10" t="s">
        <v>1709</v>
      </c>
      <c r="B302" s="16">
        <v>39714</v>
      </c>
      <c r="C302" s="10" t="s">
        <v>2778</v>
      </c>
      <c r="D302" s="10" t="s">
        <v>89</v>
      </c>
      <c r="E302" s="10" t="s">
        <v>624</v>
      </c>
      <c r="F302" s="10" t="s">
        <v>3030</v>
      </c>
      <c r="G302" s="18">
        <f>917980598103</f>
        <v>917980598103</v>
      </c>
      <c r="H302" s="18">
        <f>919875520822</f>
        <v>919875520822</v>
      </c>
      <c r="I302" s="10" t="s">
        <v>310</v>
      </c>
      <c r="J302" s="10" t="s">
        <v>2899</v>
      </c>
      <c r="K302" s="7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>
      <c r="A303" s="10" t="s">
        <v>1709</v>
      </c>
      <c r="B303" s="57">
        <v>39387</v>
      </c>
      <c r="C303" s="10" t="s">
        <v>2749</v>
      </c>
      <c r="D303" s="10" t="s">
        <v>89</v>
      </c>
      <c r="E303" s="10" t="s">
        <v>36</v>
      </c>
      <c r="F303" s="10" t="s">
        <v>3031</v>
      </c>
      <c r="G303" s="63">
        <v>917972000000</v>
      </c>
      <c r="H303" s="18">
        <v>919421000000</v>
      </c>
      <c r="I303" s="10" t="s">
        <v>131</v>
      </c>
      <c r="J303" s="10" t="s">
        <v>592</v>
      </c>
      <c r="K303" s="7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>
      <c r="A304" s="10" t="s">
        <v>1709</v>
      </c>
      <c r="B304" s="16">
        <v>38992</v>
      </c>
      <c r="C304" s="10" t="s">
        <v>2716</v>
      </c>
      <c r="D304" s="10" t="s">
        <v>89</v>
      </c>
      <c r="E304" s="10" t="s">
        <v>36</v>
      </c>
      <c r="F304" s="10" t="s">
        <v>3032</v>
      </c>
      <c r="G304" s="18">
        <f>918421770879</f>
        <v>918421770879</v>
      </c>
      <c r="H304" s="12" t="s">
        <v>3170</v>
      </c>
      <c r="I304" s="10" t="s">
        <v>310</v>
      </c>
      <c r="J304" s="10" t="s">
        <v>2952</v>
      </c>
      <c r="K304" s="7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>
      <c r="A305" s="10" t="s">
        <v>1709</v>
      </c>
      <c r="B305" s="16">
        <v>37978</v>
      </c>
      <c r="C305" s="10" t="s">
        <v>2873</v>
      </c>
      <c r="D305" s="10" t="s">
        <v>89</v>
      </c>
      <c r="E305" s="10" t="s">
        <v>36</v>
      </c>
      <c r="F305" s="10" t="s">
        <v>3033</v>
      </c>
      <c r="G305" s="18">
        <f>917722072312</f>
        <v>917722072312</v>
      </c>
      <c r="H305" s="18">
        <f>917709361973</f>
        <v>917709361973</v>
      </c>
      <c r="I305" s="10" t="s">
        <v>310</v>
      </c>
      <c r="J305" s="10" t="s">
        <v>354</v>
      </c>
      <c r="K305" s="7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>
      <c r="A306" s="10" t="s">
        <v>1709</v>
      </c>
      <c r="B306" s="21">
        <v>38868</v>
      </c>
      <c r="C306" s="10" t="s">
        <v>2705</v>
      </c>
      <c r="D306" s="10" t="s">
        <v>89</v>
      </c>
      <c r="E306" s="10" t="s">
        <v>2432</v>
      </c>
      <c r="F306" s="10" t="s">
        <v>3034</v>
      </c>
      <c r="G306" s="18">
        <f>971566474698</f>
        <v>971566474698</v>
      </c>
      <c r="H306" s="18">
        <f>918714850577</f>
        <v>918714850577</v>
      </c>
      <c r="I306" s="10" t="s">
        <v>170</v>
      </c>
      <c r="J306" s="10" t="s">
        <v>354</v>
      </c>
      <c r="K306" s="7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>
      <c r="A307" s="10" t="s">
        <v>1709</v>
      </c>
      <c r="B307" s="16">
        <v>37991</v>
      </c>
      <c r="C307" s="10" t="s">
        <v>3035</v>
      </c>
      <c r="D307" s="10" t="s">
        <v>89</v>
      </c>
      <c r="E307" s="10" t="s">
        <v>155</v>
      </c>
      <c r="F307" s="10" t="s">
        <v>3036</v>
      </c>
      <c r="G307" s="18">
        <f>919962556847</f>
        <v>919962556847</v>
      </c>
      <c r="H307" s="18">
        <f>919710886675</f>
        <v>919710886675</v>
      </c>
      <c r="I307" s="10" t="s">
        <v>170</v>
      </c>
      <c r="J307" s="10" t="s">
        <v>354</v>
      </c>
      <c r="K307" s="7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>
      <c r="A308" s="10" t="s">
        <v>1709</v>
      </c>
      <c r="B308" s="16">
        <v>38510</v>
      </c>
      <c r="C308" s="10" t="s">
        <v>2700</v>
      </c>
      <c r="D308" s="10" t="s">
        <v>89</v>
      </c>
      <c r="E308" s="10" t="s">
        <v>155</v>
      </c>
      <c r="F308" s="10" t="s">
        <v>3037</v>
      </c>
      <c r="G308" s="18">
        <f>919600550893</f>
        <v>919600550893</v>
      </c>
      <c r="H308" s="18">
        <f>916380201337</f>
        <v>916380201337</v>
      </c>
      <c r="I308" s="10" t="s">
        <v>170</v>
      </c>
      <c r="J308" s="10" t="s">
        <v>1976</v>
      </c>
      <c r="K308" s="7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>
      <c r="A309" s="10" t="s">
        <v>1709</v>
      </c>
      <c r="B309" s="16">
        <v>39081</v>
      </c>
      <c r="C309" s="10" t="s">
        <v>2744</v>
      </c>
      <c r="D309" s="10" t="s">
        <v>89</v>
      </c>
      <c r="E309" s="10" t="s">
        <v>155</v>
      </c>
      <c r="F309" s="10" t="s">
        <v>3038</v>
      </c>
      <c r="G309" s="18">
        <f>919363221344</f>
        <v>919363221344</v>
      </c>
      <c r="H309" s="18">
        <f>919884051078</f>
        <v>919884051078</v>
      </c>
      <c r="I309" s="10" t="s">
        <v>310</v>
      </c>
      <c r="J309" s="10" t="s">
        <v>1976</v>
      </c>
      <c r="K309" s="7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>
      <c r="A310" s="10" t="s">
        <v>1709</v>
      </c>
      <c r="B310" s="16">
        <v>38170</v>
      </c>
      <c r="C310" s="10" t="s">
        <v>2732</v>
      </c>
      <c r="D310" s="10" t="s">
        <v>89</v>
      </c>
      <c r="E310" s="10" t="s">
        <v>337</v>
      </c>
      <c r="F310" s="10" t="s">
        <v>3039</v>
      </c>
      <c r="G310" s="18">
        <f>917496066158</f>
        <v>917496066158</v>
      </c>
      <c r="H310" s="18">
        <f>916397545342</f>
        <v>916397545342</v>
      </c>
      <c r="I310" s="10" t="s">
        <v>248</v>
      </c>
      <c r="J310" s="10" t="s">
        <v>475</v>
      </c>
      <c r="K310" s="7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>
      <c r="A311" s="10" t="s">
        <v>1709</v>
      </c>
      <c r="B311" s="16">
        <v>38093</v>
      </c>
      <c r="C311" s="10" t="s">
        <v>2783</v>
      </c>
      <c r="D311" s="10" t="s">
        <v>89</v>
      </c>
      <c r="E311" s="10" t="s">
        <v>337</v>
      </c>
      <c r="F311" s="10" t="s">
        <v>3040</v>
      </c>
      <c r="G311" s="18">
        <f>917078770947</f>
        <v>917078770947</v>
      </c>
      <c r="H311" s="18">
        <f>917351636465</f>
        <v>917351636465</v>
      </c>
      <c r="I311" s="10" t="s">
        <v>170</v>
      </c>
      <c r="J311" s="10" t="s">
        <v>3041</v>
      </c>
      <c r="K311" s="7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>
      <c r="A312" s="10" t="s">
        <v>1709</v>
      </c>
      <c r="B312" s="16">
        <v>37657</v>
      </c>
      <c r="C312" s="10" t="s">
        <v>1776</v>
      </c>
      <c r="D312" s="10" t="s">
        <v>89</v>
      </c>
      <c r="E312" s="10" t="s">
        <v>183</v>
      </c>
      <c r="F312" s="10" t="s">
        <v>1783</v>
      </c>
      <c r="G312" s="18">
        <f t="shared" ref="G312:H312" si="29">919930507771</f>
        <v>919930507771</v>
      </c>
      <c r="H312" s="18">
        <f t="shared" si="29"/>
        <v>919930507771</v>
      </c>
      <c r="I312" s="10" t="s">
        <v>170</v>
      </c>
      <c r="J312" s="10" t="s">
        <v>678</v>
      </c>
      <c r="K312" s="7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>
      <c r="A313" s="10" t="s">
        <v>1709</v>
      </c>
      <c r="B313" s="16">
        <v>38335</v>
      </c>
      <c r="C313" s="10" t="s">
        <v>2711</v>
      </c>
      <c r="D313" s="10" t="s">
        <v>89</v>
      </c>
      <c r="E313" s="10" t="s">
        <v>183</v>
      </c>
      <c r="F313" s="10" t="s">
        <v>3042</v>
      </c>
      <c r="G313" s="18">
        <f>919362333536</f>
        <v>919362333536</v>
      </c>
      <c r="H313" s="18">
        <f t="shared" ref="H313:H314" si="30">919119447166</f>
        <v>919119447166</v>
      </c>
      <c r="I313" s="10" t="s">
        <v>248</v>
      </c>
      <c r="J313" s="10" t="s">
        <v>354</v>
      </c>
      <c r="K313" s="7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>
      <c r="A314" s="10" t="s">
        <v>1709</v>
      </c>
      <c r="B314" s="16">
        <v>37622</v>
      </c>
      <c r="C314" s="10" t="s">
        <v>1805</v>
      </c>
      <c r="D314" s="10" t="s">
        <v>89</v>
      </c>
      <c r="E314" s="10" t="s">
        <v>183</v>
      </c>
      <c r="F314" s="10" t="s">
        <v>1814</v>
      </c>
      <c r="G314" s="18">
        <f>919863332710</f>
        <v>919863332710</v>
      </c>
      <c r="H314" s="18">
        <f t="shared" si="30"/>
        <v>919119447166</v>
      </c>
      <c r="I314" s="10" t="s">
        <v>170</v>
      </c>
      <c r="J314" s="10" t="s">
        <v>354</v>
      </c>
      <c r="K314" s="7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>
      <c r="A315" s="10" t="s">
        <v>1709</v>
      </c>
      <c r="B315" s="16">
        <v>38781</v>
      </c>
      <c r="C315" s="10" t="s">
        <v>2815</v>
      </c>
      <c r="D315" s="10" t="s">
        <v>89</v>
      </c>
      <c r="E315" s="10" t="s">
        <v>275</v>
      </c>
      <c r="F315" s="10" t="s">
        <v>3043</v>
      </c>
      <c r="G315" s="18">
        <f t="shared" ref="G315:H315" si="31">919783033903</f>
        <v>919783033903</v>
      </c>
      <c r="H315" s="18">
        <f t="shared" si="31"/>
        <v>919783033903</v>
      </c>
      <c r="I315" s="10" t="s">
        <v>310</v>
      </c>
      <c r="J315" s="10" t="s">
        <v>1976</v>
      </c>
      <c r="K315" s="7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>
      <c r="A316" s="83" t="s">
        <v>3044</v>
      </c>
      <c r="B316" s="80"/>
      <c r="C316" s="80"/>
      <c r="D316" s="80"/>
      <c r="E316" s="81"/>
      <c r="F316" s="14"/>
      <c r="G316" s="14"/>
      <c r="H316" s="14"/>
      <c r="I316" s="14"/>
      <c r="J316" s="14"/>
      <c r="K316" s="14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>
      <c r="A317" s="41" t="s">
        <v>3</v>
      </c>
      <c r="B317" s="41" t="s">
        <v>2</v>
      </c>
      <c r="C317" s="41" t="s">
        <v>0</v>
      </c>
      <c r="D317" s="41" t="s">
        <v>2971</v>
      </c>
      <c r="E317" s="41" t="s">
        <v>5</v>
      </c>
      <c r="F317" s="2" t="s">
        <v>2972</v>
      </c>
      <c r="G317" s="64" t="s">
        <v>2973</v>
      </c>
      <c r="H317" s="2" t="s">
        <v>1685</v>
      </c>
      <c r="I317" s="2" t="s">
        <v>1687</v>
      </c>
      <c r="J317" s="2" t="s">
        <v>2974</v>
      </c>
      <c r="K317" s="7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>
      <c r="A318" s="10" t="s">
        <v>1543</v>
      </c>
      <c r="B318" s="16">
        <v>37700</v>
      </c>
      <c r="C318" s="10" t="s">
        <v>3045</v>
      </c>
      <c r="D318" s="10" t="s">
        <v>422</v>
      </c>
      <c r="E318" s="10" t="s">
        <v>2505</v>
      </c>
      <c r="F318" s="10" t="s">
        <v>3046</v>
      </c>
      <c r="G318" s="65">
        <f>919307354363</f>
        <v>919307354363</v>
      </c>
      <c r="H318" s="18">
        <f>919822127201</f>
        <v>919822127201</v>
      </c>
      <c r="I318" s="10" t="s">
        <v>131</v>
      </c>
      <c r="J318" s="10" t="s">
        <v>3047</v>
      </c>
      <c r="K318" s="7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66"/>
      <c r="Y318" s="66"/>
      <c r="Z318" s="66"/>
      <c r="AA318" s="66"/>
      <c r="AB318" s="66"/>
    </row>
    <row r="319" spans="1:28">
      <c r="A319" s="10" t="s">
        <v>1543</v>
      </c>
      <c r="B319" s="16">
        <v>41107</v>
      </c>
      <c r="C319" s="10" t="s">
        <v>2426</v>
      </c>
      <c r="D319" s="10" t="s">
        <v>422</v>
      </c>
      <c r="E319" s="10" t="s">
        <v>798</v>
      </c>
      <c r="F319" s="10" t="s">
        <v>3048</v>
      </c>
      <c r="G319" s="65">
        <f>917988884844</f>
        <v>917988884844</v>
      </c>
      <c r="H319" s="18">
        <f>918814958254</f>
        <v>918814958254</v>
      </c>
      <c r="I319" s="10" t="s">
        <v>170</v>
      </c>
      <c r="J319" s="10" t="s">
        <v>2952</v>
      </c>
      <c r="K319" s="7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66"/>
      <c r="Y319" s="66"/>
      <c r="Z319" s="66"/>
      <c r="AA319" s="66"/>
      <c r="AB319" s="66"/>
    </row>
    <row r="320" spans="1:28">
      <c r="A320" s="10" t="s">
        <v>1543</v>
      </c>
      <c r="B320" s="16">
        <v>38718</v>
      </c>
      <c r="C320" s="10" t="s">
        <v>2443</v>
      </c>
      <c r="D320" s="10" t="s">
        <v>422</v>
      </c>
      <c r="E320" s="10" t="s">
        <v>2416</v>
      </c>
      <c r="F320" s="10" t="s">
        <v>3049</v>
      </c>
      <c r="G320" s="65">
        <v>917004000000</v>
      </c>
      <c r="H320" s="63">
        <v>916201000000</v>
      </c>
      <c r="I320" s="10" t="s">
        <v>131</v>
      </c>
      <c r="J320" s="10" t="s">
        <v>1951</v>
      </c>
      <c r="K320" s="7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>
      <c r="A321" s="10" t="s">
        <v>1543</v>
      </c>
      <c r="B321" s="10" t="s">
        <v>3050</v>
      </c>
      <c r="C321" s="10" t="s">
        <v>2415</v>
      </c>
      <c r="D321" s="10" t="s">
        <v>422</v>
      </c>
      <c r="E321" s="10" t="s">
        <v>2416</v>
      </c>
      <c r="F321" s="10" t="s">
        <v>3051</v>
      </c>
      <c r="G321" s="65">
        <v>918211000000</v>
      </c>
      <c r="H321" s="63">
        <v>919934000000</v>
      </c>
      <c r="I321" s="10" t="s">
        <v>131</v>
      </c>
      <c r="J321" s="10" t="s">
        <v>312</v>
      </c>
      <c r="K321" s="7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>
      <c r="A322" s="10" t="s">
        <v>1543</v>
      </c>
      <c r="B322" s="16">
        <v>38058</v>
      </c>
      <c r="C322" s="10" t="s">
        <v>2391</v>
      </c>
      <c r="D322" s="10" t="s">
        <v>422</v>
      </c>
      <c r="E322" s="10" t="s">
        <v>26</v>
      </c>
      <c r="F322" s="10" t="s">
        <v>3052</v>
      </c>
      <c r="G322" s="65">
        <v>919981000000</v>
      </c>
      <c r="H322" s="63">
        <v>917000000000</v>
      </c>
      <c r="I322" s="10" t="s">
        <v>1767</v>
      </c>
      <c r="J322" s="10" t="s">
        <v>354</v>
      </c>
      <c r="K322" s="7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>
      <c r="A323" s="10" t="s">
        <v>1543</v>
      </c>
      <c r="B323" s="16">
        <v>37938</v>
      </c>
      <c r="C323" s="10" t="s">
        <v>2411</v>
      </c>
      <c r="D323" s="10" t="s">
        <v>422</v>
      </c>
      <c r="E323" s="10" t="s">
        <v>45</v>
      </c>
      <c r="F323" s="10" t="s">
        <v>3053</v>
      </c>
      <c r="G323" s="65">
        <f>918794231521</f>
        <v>918794231521</v>
      </c>
      <c r="H323" s="18">
        <f>917709361973</f>
        <v>917709361973</v>
      </c>
      <c r="I323" s="10" t="s">
        <v>310</v>
      </c>
      <c r="J323" s="10" t="s">
        <v>354</v>
      </c>
      <c r="K323" s="7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>
      <c r="A324" s="10" t="s">
        <v>1543</v>
      </c>
      <c r="B324" s="16">
        <v>36282</v>
      </c>
      <c r="C324" s="10" t="s">
        <v>1010</v>
      </c>
      <c r="D324" s="10" t="s">
        <v>422</v>
      </c>
      <c r="E324" s="10" t="s">
        <v>908</v>
      </c>
      <c r="F324" s="10" t="s">
        <v>1016</v>
      </c>
      <c r="G324" s="65">
        <v>917006000000</v>
      </c>
      <c r="H324" s="63">
        <v>916910000000</v>
      </c>
      <c r="I324" s="10" t="s">
        <v>131</v>
      </c>
      <c r="J324" s="10" t="s">
        <v>678</v>
      </c>
      <c r="K324" s="7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>
      <c r="A325" s="10" t="s">
        <v>1543</v>
      </c>
      <c r="B325" s="16">
        <v>38805</v>
      </c>
      <c r="C325" s="10" t="s">
        <v>1592</v>
      </c>
      <c r="D325" s="10" t="s">
        <v>422</v>
      </c>
      <c r="E325" s="10" t="s">
        <v>36</v>
      </c>
      <c r="F325" s="10" t="s">
        <v>1597</v>
      </c>
      <c r="G325" s="65">
        <f>918446147092</f>
        <v>918446147092</v>
      </c>
      <c r="H325" s="18">
        <f>918850747092</f>
        <v>918850747092</v>
      </c>
      <c r="I325" s="10" t="s">
        <v>1767</v>
      </c>
      <c r="J325" s="10" t="s">
        <v>354</v>
      </c>
      <c r="K325" s="7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>
      <c r="A326" s="10" t="s">
        <v>1543</v>
      </c>
      <c r="B326" s="21">
        <v>37923</v>
      </c>
      <c r="C326" s="10" t="s">
        <v>1611</v>
      </c>
      <c r="D326" s="10" t="s">
        <v>422</v>
      </c>
      <c r="E326" s="10" t="s">
        <v>36</v>
      </c>
      <c r="F326" s="10" t="s">
        <v>1617</v>
      </c>
      <c r="G326" s="65">
        <f t="shared" ref="G326:H326" si="32">917821874152</f>
        <v>917821874152</v>
      </c>
      <c r="H326" s="18">
        <f t="shared" si="32"/>
        <v>917821874152</v>
      </c>
      <c r="I326" s="10" t="s">
        <v>131</v>
      </c>
      <c r="J326" s="10" t="s">
        <v>804</v>
      </c>
      <c r="K326" s="7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>
      <c r="A327" s="10" t="s">
        <v>1543</v>
      </c>
      <c r="B327" s="16">
        <v>37692</v>
      </c>
      <c r="C327" s="10" t="s">
        <v>2401</v>
      </c>
      <c r="D327" s="10" t="s">
        <v>422</v>
      </c>
      <c r="E327" s="10" t="s">
        <v>36</v>
      </c>
      <c r="F327" s="10" t="s">
        <v>3054</v>
      </c>
      <c r="G327" s="65">
        <f>919764501711</f>
        <v>919764501711</v>
      </c>
      <c r="H327" s="18">
        <f>919764003660</f>
        <v>919764003660</v>
      </c>
      <c r="I327" s="10" t="s">
        <v>131</v>
      </c>
      <c r="J327" s="10" t="s">
        <v>354</v>
      </c>
      <c r="K327" s="7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>
      <c r="A328" s="10" t="s">
        <v>1543</v>
      </c>
      <c r="B328" s="16">
        <v>38768</v>
      </c>
      <c r="C328" s="10" t="s">
        <v>2431</v>
      </c>
      <c r="D328" s="10" t="s">
        <v>422</v>
      </c>
      <c r="E328" s="10" t="s">
        <v>2432</v>
      </c>
      <c r="F328" s="10" t="s">
        <v>3055</v>
      </c>
      <c r="G328" s="65">
        <f>919495593377</f>
        <v>919495593377</v>
      </c>
      <c r="H328" s="18">
        <f>919074058472</f>
        <v>919074058472</v>
      </c>
      <c r="I328" s="10" t="s">
        <v>310</v>
      </c>
      <c r="J328" s="10" t="s">
        <v>1976</v>
      </c>
      <c r="K328" s="7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>
      <c r="A329" s="10" t="s">
        <v>1543</v>
      </c>
      <c r="B329" s="16">
        <v>36010</v>
      </c>
      <c r="C329" s="10" t="s">
        <v>2406</v>
      </c>
      <c r="D329" s="10" t="s">
        <v>422</v>
      </c>
      <c r="E329" s="10" t="s">
        <v>155</v>
      </c>
      <c r="F329" s="10" t="s">
        <v>3056</v>
      </c>
      <c r="G329" s="65">
        <f>919789833363</f>
        <v>919789833363</v>
      </c>
      <c r="H329" s="18">
        <f>919677201760</f>
        <v>919677201760</v>
      </c>
      <c r="I329" s="10" t="s">
        <v>170</v>
      </c>
      <c r="J329" s="10" t="s">
        <v>354</v>
      </c>
      <c r="K329" s="7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>
      <c r="A330" s="10" t="s">
        <v>1543</v>
      </c>
      <c r="B330" s="16">
        <v>39414</v>
      </c>
      <c r="C330" s="10" t="s">
        <v>1548</v>
      </c>
      <c r="D330" s="10" t="s">
        <v>422</v>
      </c>
      <c r="E330" s="10" t="s">
        <v>155</v>
      </c>
      <c r="F330" s="10" t="s">
        <v>1574</v>
      </c>
      <c r="G330" s="65">
        <f>919791945934</f>
        <v>919791945934</v>
      </c>
      <c r="H330" s="18">
        <f>916380201337</f>
        <v>916380201337</v>
      </c>
      <c r="I330" s="10" t="s">
        <v>170</v>
      </c>
      <c r="J330" s="10" t="s">
        <v>1976</v>
      </c>
      <c r="K330" s="7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>
      <c r="A331" s="10" t="s">
        <v>1543</v>
      </c>
      <c r="B331" s="16">
        <v>36603</v>
      </c>
      <c r="C331" s="10" t="s">
        <v>2421</v>
      </c>
      <c r="D331" s="10" t="s">
        <v>422</v>
      </c>
      <c r="E331" s="10" t="s">
        <v>337</v>
      </c>
      <c r="F331" s="10" t="s">
        <v>3057</v>
      </c>
      <c r="G331" s="65">
        <f t="shared" ref="G331:H331" si="33">918104672717</f>
        <v>918104672717</v>
      </c>
      <c r="H331" s="18">
        <f t="shared" si="33"/>
        <v>918104672717</v>
      </c>
      <c r="I331" s="10" t="s">
        <v>170</v>
      </c>
      <c r="J331" s="10" t="s">
        <v>354</v>
      </c>
      <c r="K331" s="7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66"/>
      <c r="Y331" s="66"/>
      <c r="Z331" s="66"/>
      <c r="AA331" s="66"/>
      <c r="AB331" s="66"/>
    </row>
    <row r="332" spans="1:28">
      <c r="A332" s="10" t="s">
        <v>1543</v>
      </c>
      <c r="B332" s="16">
        <v>34999</v>
      </c>
      <c r="C332" s="10" t="s">
        <v>2438</v>
      </c>
      <c r="D332" s="10" t="s">
        <v>422</v>
      </c>
      <c r="E332" s="10" t="s">
        <v>337</v>
      </c>
      <c r="F332" s="10" t="s">
        <v>3058</v>
      </c>
      <c r="G332" s="65">
        <f t="shared" ref="G332:H332" si="34">919497693298</f>
        <v>919497693298</v>
      </c>
      <c r="H332" s="18">
        <f t="shared" si="34"/>
        <v>919497693298</v>
      </c>
      <c r="I332" s="10" t="s">
        <v>131</v>
      </c>
      <c r="J332" s="10" t="s">
        <v>1976</v>
      </c>
      <c r="K332" s="7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>
      <c r="A333" s="36" t="s">
        <v>1543</v>
      </c>
      <c r="B333" s="37">
        <v>36683</v>
      </c>
      <c r="C333" s="36" t="s">
        <v>2395</v>
      </c>
      <c r="D333" s="36" t="s">
        <v>422</v>
      </c>
      <c r="E333" s="36" t="s">
        <v>26</v>
      </c>
      <c r="F333" s="7"/>
      <c r="G333" s="67"/>
      <c r="H333" s="7"/>
      <c r="I333" s="7"/>
      <c r="J333" s="7"/>
      <c r="K333" s="7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>
      <c r="A334" s="10" t="s">
        <v>1543</v>
      </c>
      <c r="B334" s="16">
        <v>36121</v>
      </c>
      <c r="C334" s="10" t="s">
        <v>3059</v>
      </c>
      <c r="D334" s="10" t="s">
        <v>422</v>
      </c>
      <c r="E334" s="10" t="s">
        <v>337</v>
      </c>
      <c r="F334" s="10" t="s">
        <v>3060</v>
      </c>
      <c r="G334" s="65">
        <f>919557655458</f>
        <v>919557655458</v>
      </c>
      <c r="H334" s="12" t="s">
        <v>3170</v>
      </c>
      <c r="I334" s="10" t="s">
        <v>170</v>
      </c>
      <c r="J334" s="10" t="s">
        <v>678</v>
      </c>
      <c r="K334" s="7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>
      <c r="A335" s="10" t="s">
        <v>1543</v>
      </c>
      <c r="B335" s="10" t="s">
        <v>3050</v>
      </c>
      <c r="C335" s="10" t="s">
        <v>2557</v>
      </c>
      <c r="D335" s="10" t="s">
        <v>89</v>
      </c>
      <c r="E335" s="10" t="s">
        <v>845</v>
      </c>
      <c r="F335" s="10" t="s">
        <v>3061</v>
      </c>
      <c r="G335" s="65">
        <v>916302000000</v>
      </c>
      <c r="H335" s="63">
        <v>917780000000</v>
      </c>
      <c r="I335" s="10" t="s">
        <v>170</v>
      </c>
      <c r="J335" s="10" t="s">
        <v>354</v>
      </c>
      <c r="K335" s="7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>
      <c r="A336" s="10" t="s">
        <v>1543</v>
      </c>
      <c r="B336" s="10" t="s">
        <v>3062</v>
      </c>
      <c r="C336" s="10" t="s">
        <v>2613</v>
      </c>
      <c r="D336" s="10" t="s">
        <v>89</v>
      </c>
      <c r="E336" s="10" t="s">
        <v>845</v>
      </c>
      <c r="F336" s="10" t="s">
        <v>3063</v>
      </c>
      <c r="G336" s="65">
        <v>918500000000</v>
      </c>
      <c r="H336" s="63">
        <v>919011000000</v>
      </c>
      <c r="I336" s="10" t="s">
        <v>310</v>
      </c>
      <c r="J336" s="10" t="s">
        <v>3064</v>
      </c>
      <c r="K336" s="7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>
      <c r="A337" s="10" t="s">
        <v>1543</v>
      </c>
      <c r="B337" s="21">
        <v>36295</v>
      </c>
      <c r="C337" s="10" t="s">
        <v>2590</v>
      </c>
      <c r="D337" s="10" t="s">
        <v>89</v>
      </c>
      <c r="E337" s="10" t="s">
        <v>540</v>
      </c>
      <c r="F337" s="29" t="s">
        <v>3065</v>
      </c>
      <c r="G337" s="65">
        <f t="shared" ref="G337:H337" si="35">916200239448</f>
        <v>916200239448</v>
      </c>
      <c r="H337" s="18">
        <f t="shared" si="35"/>
        <v>916200239448</v>
      </c>
      <c r="I337" s="10" t="s">
        <v>1767</v>
      </c>
      <c r="J337" s="10" t="s">
        <v>3066</v>
      </c>
      <c r="K337" s="7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66"/>
      <c r="Y337" s="66"/>
      <c r="Z337" s="66"/>
      <c r="AA337" s="66"/>
      <c r="AB337" s="66"/>
    </row>
    <row r="338" spans="1:28">
      <c r="A338" s="10" t="s">
        <v>1543</v>
      </c>
      <c r="B338" s="16">
        <v>34904</v>
      </c>
      <c r="C338" s="10" t="s">
        <v>2584</v>
      </c>
      <c r="D338" s="10" t="s">
        <v>89</v>
      </c>
      <c r="E338" s="10" t="s">
        <v>540</v>
      </c>
      <c r="F338" s="10" t="s">
        <v>3067</v>
      </c>
      <c r="G338" s="65">
        <f>917654040869</f>
        <v>917654040869</v>
      </c>
      <c r="H338" s="18">
        <f>917004863287</f>
        <v>917004863287</v>
      </c>
      <c r="I338" s="10" t="s">
        <v>196</v>
      </c>
      <c r="J338" s="10" t="s">
        <v>354</v>
      </c>
      <c r="K338" s="7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>
      <c r="A339" s="10" t="s">
        <v>1543</v>
      </c>
      <c r="B339" s="16">
        <v>36006</v>
      </c>
      <c r="C339" s="10" t="s">
        <v>2520</v>
      </c>
      <c r="D339" s="10" t="s">
        <v>89</v>
      </c>
      <c r="E339" s="10" t="s">
        <v>2505</v>
      </c>
      <c r="F339" s="10" t="s">
        <v>3068</v>
      </c>
      <c r="G339" s="65">
        <f>917261986077</f>
        <v>917261986077</v>
      </c>
      <c r="H339" s="18">
        <f t="shared" ref="H339:H340" si="36">919822127201</f>
        <v>919822127201</v>
      </c>
      <c r="I339" s="10" t="s">
        <v>170</v>
      </c>
      <c r="J339" s="10" t="s">
        <v>2983</v>
      </c>
      <c r="K339" s="7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>
      <c r="A340" s="10" t="s">
        <v>1543</v>
      </c>
      <c r="B340" s="16">
        <v>35284</v>
      </c>
      <c r="C340" s="10" t="s">
        <v>2504</v>
      </c>
      <c r="D340" s="10" t="s">
        <v>89</v>
      </c>
      <c r="E340" s="10" t="s">
        <v>2505</v>
      </c>
      <c r="F340" s="10" t="s">
        <v>3069</v>
      </c>
      <c r="G340" s="65">
        <f>917769964520</f>
        <v>917769964520</v>
      </c>
      <c r="H340" s="18">
        <f t="shared" si="36"/>
        <v>919822127201</v>
      </c>
      <c r="I340" s="10" t="s">
        <v>131</v>
      </c>
      <c r="J340" s="10" t="s">
        <v>3047</v>
      </c>
      <c r="K340" s="7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>
      <c r="A341" s="10" t="s">
        <v>1543</v>
      </c>
      <c r="B341" s="16">
        <v>39703</v>
      </c>
      <c r="C341" s="10" t="s">
        <v>2463</v>
      </c>
      <c r="D341" s="10" t="s">
        <v>89</v>
      </c>
      <c r="E341" s="10" t="s">
        <v>798</v>
      </c>
      <c r="F341" s="10" t="s">
        <v>3070</v>
      </c>
      <c r="G341" s="65">
        <f>918396069222</f>
        <v>918396069222</v>
      </c>
      <c r="H341" s="18">
        <f>917056438176</f>
        <v>917056438176</v>
      </c>
      <c r="I341" s="10" t="s">
        <v>170</v>
      </c>
      <c r="J341" s="10" t="s">
        <v>312</v>
      </c>
      <c r="K341" s="7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66"/>
      <c r="Y341" s="66"/>
      <c r="Z341" s="66"/>
      <c r="AA341" s="66"/>
      <c r="AB341" s="66"/>
    </row>
    <row r="342" spans="1:28">
      <c r="A342" s="10" t="s">
        <v>1543</v>
      </c>
      <c r="B342" s="57">
        <v>46144</v>
      </c>
      <c r="C342" s="10" t="s">
        <v>2887</v>
      </c>
      <c r="D342" s="10" t="s">
        <v>89</v>
      </c>
      <c r="E342" s="10" t="s">
        <v>2416</v>
      </c>
      <c r="F342" s="10" t="s">
        <v>3071</v>
      </c>
      <c r="G342" s="67"/>
      <c r="H342" s="7"/>
      <c r="I342" s="10" t="s">
        <v>310</v>
      </c>
      <c r="J342" s="10" t="s">
        <v>678</v>
      </c>
      <c r="K342" s="7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>
      <c r="A343" s="10" t="s">
        <v>1543</v>
      </c>
      <c r="B343" s="10" t="s">
        <v>3072</v>
      </c>
      <c r="C343" s="10" t="s">
        <v>2541</v>
      </c>
      <c r="D343" s="10" t="s">
        <v>89</v>
      </c>
      <c r="E343" s="10" t="s">
        <v>2416</v>
      </c>
      <c r="F343" s="10" t="s">
        <v>3073</v>
      </c>
      <c r="G343" s="65">
        <v>919136000000</v>
      </c>
      <c r="H343" s="63">
        <v>919341000000</v>
      </c>
      <c r="I343" s="10" t="s">
        <v>170</v>
      </c>
      <c r="J343" s="10" t="s">
        <v>312</v>
      </c>
      <c r="K343" s="7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>
      <c r="A344" s="10" t="s">
        <v>1543</v>
      </c>
      <c r="B344" s="16">
        <v>36918</v>
      </c>
      <c r="C344" s="10" t="s">
        <v>2510</v>
      </c>
      <c r="D344" s="10" t="s">
        <v>89</v>
      </c>
      <c r="E344" s="10" t="s">
        <v>72</v>
      </c>
      <c r="F344" s="10" t="s">
        <v>3074</v>
      </c>
      <c r="G344" s="65">
        <f>919945845576</f>
        <v>919945845576</v>
      </c>
      <c r="H344" s="18">
        <f>919902234791</f>
        <v>919902234791</v>
      </c>
      <c r="I344" s="10" t="s">
        <v>170</v>
      </c>
      <c r="J344" s="10" t="s">
        <v>1976</v>
      </c>
      <c r="K344" s="7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>
      <c r="A345" s="10" t="s">
        <v>1543</v>
      </c>
      <c r="B345" s="16">
        <v>38797</v>
      </c>
      <c r="C345" s="10" t="s">
        <v>1646</v>
      </c>
      <c r="D345" s="10" t="s">
        <v>89</v>
      </c>
      <c r="E345" s="10" t="s">
        <v>72</v>
      </c>
      <c r="F345" s="10" t="s">
        <v>1653</v>
      </c>
      <c r="G345" s="65">
        <f>919741027661</f>
        <v>919741027661</v>
      </c>
      <c r="H345" s="18">
        <f>918431266661</f>
        <v>918431266661</v>
      </c>
      <c r="I345" s="10" t="s">
        <v>170</v>
      </c>
      <c r="J345" s="10" t="s">
        <v>678</v>
      </c>
      <c r="K345" s="7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>
      <c r="A346" s="10" t="s">
        <v>1543</v>
      </c>
      <c r="B346" s="57">
        <v>39179</v>
      </c>
      <c r="C346" s="10" t="s">
        <v>2479</v>
      </c>
      <c r="D346" s="10" t="s">
        <v>89</v>
      </c>
      <c r="E346" s="10" t="s">
        <v>26</v>
      </c>
      <c r="F346" s="10" t="s">
        <v>3075</v>
      </c>
      <c r="G346" s="65">
        <v>917000000000</v>
      </c>
      <c r="H346" s="63">
        <v>919581000000</v>
      </c>
      <c r="I346" s="10" t="s">
        <v>170</v>
      </c>
      <c r="J346" s="10" t="s">
        <v>2562</v>
      </c>
      <c r="K346" s="7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>
      <c r="A347" s="10" t="s">
        <v>1543</v>
      </c>
      <c r="B347" s="16">
        <v>39424</v>
      </c>
      <c r="C347" s="10" t="s">
        <v>1680</v>
      </c>
      <c r="D347" s="10" t="s">
        <v>89</v>
      </c>
      <c r="E347" s="10" t="s">
        <v>45</v>
      </c>
      <c r="F347" s="10" t="s">
        <v>1682</v>
      </c>
      <c r="G347" s="65">
        <f t="shared" ref="G347:H347" si="37">919856767881</f>
        <v>919856767881</v>
      </c>
      <c r="H347" s="18">
        <f t="shared" si="37"/>
        <v>919856767881</v>
      </c>
      <c r="I347" s="10" t="s">
        <v>310</v>
      </c>
      <c r="J347" s="10" t="s">
        <v>312</v>
      </c>
      <c r="K347" s="7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>
      <c r="A348" s="10" t="s">
        <v>1543</v>
      </c>
      <c r="B348" s="16">
        <v>39691</v>
      </c>
      <c r="C348" s="10" t="s">
        <v>2498</v>
      </c>
      <c r="D348" s="10" t="s">
        <v>89</v>
      </c>
      <c r="E348" s="10" t="s">
        <v>45</v>
      </c>
      <c r="F348" s="10" t="s">
        <v>3076</v>
      </c>
      <c r="G348" s="65">
        <f>917630909649</f>
        <v>917630909649</v>
      </c>
      <c r="H348" s="18">
        <f t="shared" ref="H348:H349" si="38">917709361973</f>
        <v>917709361973</v>
      </c>
      <c r="I348" s="10" t="s">
        <v>131</v>
      </c>
      <c r="J348" s="10" t="s">
        <v>2952</v>
      </c>
      <c r="K348" s="7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>
      <c r="A349" s="10" t="s">
        <v>1543</v>
      </c>
      <c r="B349" s="16">
        <v>38413</v>
      </c>
      <c r="C349" s="10" t="s">
        <v>2489</v>
      </c>
      <c r="D349" s="10" t="s">
        <v>89</v>
      </c>
      <c r="E349" s="10" t="s">
        <v>45</v>
      </c>
      <c r="F349" s="10" t="s">
        <v>3077</v>
      </c>
      <c r="G349" s="65">
        <f>916909669982</f>
        <v>916909669982</v>
      </c>
      <c r="H349" s="18">
        <f t="shared" si="38"/>
        <v>917709361973</v>
      </c>
      <c r="I349" s="10" t="s">
        <v>170</v>
      </c>
      <c r="J349" s="10" t="s">
        <v>2952</v>
      </c>
      <c r="K349" s="7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>
      <c r="A350" s="10" t="s">
        <v>1543</v>
      </c>
      <c r="B350" s="21">
        <v>35576</v>
      </c>
      <c r="C350" s="10" t="s">
        <v>3078</v>
      </c>
      <c r="D350" s="10" t="s">
        <v>89</v>
      </c>
      <c r="E350" s="10" t="s">
        <v>908</v>
      </c>
      <c r="F350" s="10" t="s">
        <v>3079</v>
      </c>
      <c r="G350" s="65">
        <f>916909903907</f>
        <v>916909903907</v>
      </c>
      <c r="H350" s="18">
        <f>916009970650</f>
        <v>916009970650</v>
      </c>
      <c r="I350" s="10" t="s">
        <v>170</v>
      </c>
      <c r="J350" s="10" t="s">
        <v>678</v>
      </c>
      <c r="K350" s="7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>
      <c r="A351" s="10" t="s">
        <v>1543</v>
      </c>
      <c r="B351" s="16">
        <v>36618</v>
      </c>
      <c r="C351" s="10" t="s">
        <v>2494</v>
      </c>
      <c r="D351" s="10" t="s">
        <v>89</v>
      </c>
      <c r="E351" s="10" t="s">
        <v>1760</v>
      </c>
      <c r="F351" s="10" t="s">
        <v>3080</v>
      </c>
      <c r="G351" s="65">
        <f>919914998876</f>
        <v>919914998876</v>
      </c>
      <c r="H351" s="18">
        <f>918847549954</f>
        <v>918847549954</v>
      </c>
      <c r="I351" s="10" t="s">
        <v>131</v>
      </c>
      <c r="J351" s="10" t="s">
        <v>354</v>
      </c>
      <c r="K351" s="7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>
      <c r="A352" s="10" t="s">
        <v>1543</v>
      </c>
      <c r="B352" s="16">
        <v>34020</v>
      </c>
      <c r="C352" s="10" t="s">
        <v>2546</v>
      </c>
      <c r="D352" s="10" t="s">
        <v>89</v>
      </c>
      <c r="E352" s="10" t="s">
        <v>1760</v>
      </c>
      <c r="F352" s="10" t="s">
        <v>3081</v>
      </c>
      <c r="G352" s="65">
        <f>918010713750</f>
        <v>918010713750</v>
      </c>
      <c r="H352" s="18">
        <f>919869381405</f>
        <v>919869381405</v>
      </c>
      <c r="I352" s="10" t="s">
        <v>310</v>
      </c>
      <c r="J352" s="10" t="s">
        <v>592</v>
      </c>
      <c r="K352" s="7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>
      <c r="A353" s="10" t="s">
        <v>1543</v>
      </c>
      <c r="B353" s="16">
        <v>37960</v>
      </c>
      <c r="C353" s="10" t="s">
        <v>2604</v>
      </c>
      <c r="D353" s="10" t="s">
        <v>89</v>
      </c>
      <c r="E353" s="10" t="s">
        <v>1760</v>
      </c>
      <c r="F353" s="10" t="s">
        <v>3082</v>
      </c>
      <c r="G353" s="65">
        <f t="shared" ref="G353:H353" si="39">917986747446</f>
        <v>917986747446</v>
      </c>
      <c r="H353" s="18">
        <f t="shared" si="39"/>
        <v>917986747446</v>
      </c>
      <c r="I353" s="10" t="s">
        <v>310</v>
      </c>
      <c r="J353" s="10" t="s">
        <v>354</v>
      </c>
      <c r="K353" s="7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>
      <c r="A354" s="10" t="s">
        <v>1543</v>
      </c>
      <c r="B354" s="16">
        <v>33650</v>
      </c>
      <c r="C354" s="10" t="s">
        <v>2610</v>
      </c>
      <c r="D354" s="10" t="s">
        <v>89</v>
      </c>
      <c r="E354" s="10" t="s">
        <v>241</v>
      </c>
      <c r="F354" s="10" t="s">
        <v>3083</v>
      </c>
      <c r="G354" s="65">
        <f>918209938356</f>
        <v>918209938356</v>
      </c>
      <c r="H354" s="18">
        <f>917230044943</f>
        <v>917230044943</v>
      </c>
      <c r="I354" s="10" t="s">
        <v>310</v>
      </c>
      <c r="J354" s="10" t="s">
        <v>354</v>
      </c>
      <c r="K354" s="7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>
      <c r="A355" s="10" t="s">
        <v>1543</v>
      </c>
      <c r="B355" s="57">
        <v>37654</v>
      </c>
      <c r="C355" s="10" t="s">
        <v>2515</v>
      </c>
      <c r="D355" s="10" t="s">
        <v>89</v>
      </c>
      <c r="E355" s="10" t="s">
        <v>216</v>
      </c>
      <c r="F355" s="10" t="s">
        <v>3084</v>
      </c>
      <c r="G355" s="65">
        <v>918971000000</v>
      </c>
      <c r="H355" s="63">
        <v>918972000000</v>
      </c>
      <c r="I355" s="10" t="s">
        <v>310</v>
      </c>
      <c r="J355" s="10" t="s">
        <v>678</v>
      </c>
      <c r="K355" s="7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>
      <c r="A356" s="10" t="s">
        <v>1543</v>
      </c>
      <c r="B356" s="16">
        <v>37549</v>
      </c>
      <c r="C356" s="10" t="s">
        <v>2536</v>
      </c>
      <c r="D356" s="10" t="s">
        <v>89</v>
      </c>
      <c r="E356" s="10" t="s">
        <v>2537</v>
      </c>
      <c r="F356" s="10" t="s">
        <v>3085</v>
      </c>
      <c r="G356" s="65">
        <f>916009513691</f>
        <v>916009513691</v>
      </c>
      <c r="H356" s="18">
        <f>919436459395</f>
        <v>919436459395</v>
      </c>
      <c r="I356" s="10" t="s">
        <v>310</v>
      </c>
      <c r="J356" s="10" t="s">
        <v>354</v>
      </c>
      <c r="K356" s="7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>
      <c r="A357" s="10" t="s">
        <v>1543</v>
      </c>
      <c r="B357" s="68">
        <v>37235</v>
      </c>
      <c r="C357" s="10" t="s">
        <v>2552</v>
      </c>
      <c r="D357" s="10" t="s">
        <v>89</v>
      </c>
      <c r="E357" s="10" t="s">
        <v>194</v>
      </c>
      <c r="F357" s="10" t="s">
        <v>3086</v>
      </c>
      <c r="G357" s="65">
        <v>916307000000</v>
      </c>
      <c r="H357" s="63">
        <v>919889000000</v>
      </c>
      <c r="I357" s="10" t="s">
        <v>248</v>
      </c>
      <c r="J357" s="10" t="s">
        <v>132</v>
      </c>
      <c r="K357" s="7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>
      <c r="A358" s="10" t="s">
        <v>1543</v>
      </c>
      <c r="B358" s="10" t="s">
        <v>3087</v>
      </c>
      <c r="C358" s="10" t="s">
        <v>2574</v>
      </c>
      <c r="D358" s="10" t="s">
        <v>89</v>
      </c>
      <c r="E358" s="10" t="s">
        <v>194</v>
      </c>
      <c r="F358" s="10" t="s">
        <v>3088</v>
      </c>
      <c r="G358" s="65">
        <v>918802000000</v>
      </c>
      <c r="H358" s="63">
        <v>918004000000</v>
      </c>
      <c r="I358" s="10" t="s">
        <v>170</v>
      </c>
      <c r="J358" s="10" t="s">
        <v>132</v>
      </c>
      <c r="K358" s="7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>
      <c r="A359" s="10" t="s">
        <v>1543</v>
      </c>
      <c r="B359" s="16">
        <v>36976</v>
      </c>
      <c r="C359" s="10" t="s">
        <v>2600</v>
      </c>
      <c r="D359" s="10" t="s">
        <v>89</v>
      </c>
      <c r="E359" s="10" t="s">
        <v>624</v>
      </c>
      <c r="F359" s="10" t="s">
        <v>3089</v>
      </c>
      <c r="G359" s="65">
        <f>917980925406</f>
        <v>917980925406</v>
      </c>
      <c r="H359" s="18">
        <f>918910641116</f>
        <v>918910641116</v>
      </c>
      <c r="I359" s="10" t="s">
        <v>310</v>
      </c>
      <c r="J359" s="10" t="s">
        <v>2899</v>
      </c>
      <c r="K359" s="7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>
      <c r="A360" s="10" t="s">
        <v>1543</v>
      </c>
      <c r="B360" s="16">
        <v>37793</v>
      </c>
      <c r="C360" s="10" t="s">
        <v>2484</v>
      </c>
      <c r="D360" s="10" t="s">
        <v>89</v>
      </c>
      <c r="E360" s="10" t="s">
        <v>36</v>
      </c>
      <c r="F360" s="10" t="s">
        <v>3090</v>
      </c>
      <c r="G360" s="65">
        <f t="shared" ref="G360:H360" si="40">919011125038</f>
        <v>919011125038</v>
      </c>
      <c r="H360" s="18">
        <f t="shared" si="40"/>
        <v>919011125038</v>
      </c>
      <c r="I360" s="10" t="s">
        <v>248</v>
      </c>
      <c r="J360" s="10" t="s">
        <v>354</v>
      </c>
      <c r="K360" s="7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>
      <c r="A361" s="10" t="s">
        <v>1543</v>
      </c>
      <c r="B361" s="16">
        <v>38163</v>
      </c>
      <c r="C361" s="10" t="s">
        <v>2569</v>
      </c>
      <c r="D361" s="10" t="s">
        <v>89</v>
      </c>
      <c r="E361" s="10" t="s">
        <v>155</v>
      </c>
      <c r="F361" s="10" t="s">
        <v>3091</v>
      </c>
      <c r="G361" s="67"/>
      <c r="H361" s="7"/>
      <c r="I361" s="10" t="s">
        <v>310</v>
      </c>
      <c r="J361" s="10" t="s">
        <v>354</v>
      </c>
      <c r="K361" s="7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>
      <c r="A362" s="10" t="s">
        <v>1543</v>
      </c>
      <c r="B362" s="16">
        <v>37822</v>
      </c>
      <c r="C362" s="10" t="s">
        <v>2525</v>
      </c>
      <c r="D362" s="10" t="s">
        <v>89</v>
      </c>
      <c r="E362" s="10" t="s">
        <v>155</v>
      </c>
      <c r="F362" s="10" t="s">
        <v>3092</v>
      </c>
      <c r="G362" s="65">
        <f>919042775447</f>
        <v>919042775447</v>
      </c>
      <c r="H362" s="18">
        <f>919003771100</f>
        <v>919003771100</v>
      </c>
      <c r="I362" s="10" t="s">
        <v>170</v>
      </c>
      <c r="J362" s="10" t="s">
        <v>1951</v>
      </c>
      <c r="K362" s="7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66"/>
      <c r="Y362" s="66"/>
      <c r="Z362" s="66"/>
      <c r="AA362" s="66"/>
      <c r="AB362" s="66"/>
    </row>
    <row r="363" spans="1:28">
      <c r="A363" s="10" t="s">
        <v>1543</v>
      </c>
      <c r="B363" s="10" t="s">
        <v>3093</v>
      </c>
      <c r="C363" s="10" t="s">
        <v>3094</v>
      </c>
      <c r="D363" s="10" t="s">
        <v>89</v>
      </c>
      <c r="E363" s="10" t="s">
        <v>337</v>
      </c>
      <c r="F363" s="10" t="s">
        <v>3095</v>
      </c>
      <c r="G363" s="65">
        <v>918172000000</v>
      </c>
      <c r="H363" s="63">
        <v>918171000000</v>
      </c>
      <c r="I363" s="10" t="s">
        <v>248</v>
      </c>
      <c r="J363" s="10" t="s">
        <v>3096</v>
      </c>
      <c r="K363" s="7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66"/>
      <c r="Y363" s="66"/>
      <c r="Z363" s="66"/>
      <c r="AA363" s="66"/>
      <c r="AB363" s="66"/>
    </row>
    <row r="364" spans="1:28">
      <c r="A364" s="10" t="s">
        <v>1543</v>
      </c>
      <c r="B364" s="16">
        <v>37005</v>
      </c>
      <c r="C364" s="10" t="s">
        <v>2563</v>
      </c>
      <c r="D364" s="10" t="s">
        <v>89</v>
      </c>
      <c r="E364" s="10" t="s">
        <v>337</v>
      </c>
      <c r="F364" s="10" t="s">
        <v>3097</v>
      </c>
      <c r="G364" s="65">
        <f>917451958430</f>
        <v>917451958430</v>
      </c>
      <c r="H364" s="18">
        <f>917078770947</f>
        <v>917078770947</v>
      </c>
      <c r="I364" s="10" t="s">
        <v>248</v>
      </c>
      <c r="J364" s="10" t="s">
        <v>2993</v>
      </c>
      <c r="K364" s="7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66"/>
      <c r="Y364" s="66"/>
      <c r="Z364" s="66"/>
      <c r="AA364" s="66"/>
      <c r="AB364" s="66"/>
    </row>
    <row r="365" spans="1:28">
      <c r="A365" s="10" t="s">
        <v>1543</v>
      </c>
      <c r="B365" s="16">
        <v>36341</v>
      </c>
      <c r="C365" s="10" t="s">
        <v>2469</v>
      </c>
      <c r="D365" s="10" t="s">
        <v>89</v>
      </c>
      <c r="E365" s="10" t="s">
        <v>183</v>
      </c>
      <c r="F365" s="10" t="s">
        <v>3098</v>
      </c>
      <c r="G365" s="65">
        <f>917378748498</f>
        <v>917378748498</v>
      </c>
      <c r="H365" s="18">
        <f t="shared" ref="H365:H366" si="41">919158167769</f>
        <v>919158167769</v>
      </c>
      <c r="I365" s="10" t="s">
        <v>170</v>
      </c>
      <c r="J365" s="10" t="s">
        <v>354</v>
      </c>
      <c r="K365" s="7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66"/>
      <c r="Y365" s="66"/>
      <c r="Z365" s="66"/>
      <c r="AA365" s="66"/>
      <c r="AB365" s="66"/>
    </row>
    <row r="366" spans="1:28">
      <c r="A366" s="10" t="s">
        <v>1543</v>
      </c>
      <c r="B366" s="16">
        <v>38241</v>
      </c>
      <c r="C366" s="10" t="s">
        <v>2457</v>
      </c>
      <c r="D366" s="10" t="s">
        <v>89</v>
      </c>
      <c r="E366" s="10" t="s">
        <v>183</v>
      </c>
      <c r="F366" s="10" t="s">
        <v>3099</v>
      </c>
      <c r="G366" s="65">
        <f>916009429857</f>
        <v>916009429857</v>
      </c>
      <c r="H366" s="18">
        <f t="shared" si="41"/>
        <v>919158167769</v>
      </c>
      <c r="I366" s="10" t="s">
        <v>310</v>
      </c>
      <c r="J366" s="10" t="s">
        <v>354</v>
      </c>
      <c r="K366" s="7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66"/>
      <c r="Y366" s="66"/>
      <c r="Z366" s="66"/>
      <c r="AA366" s="66"/>
      <c r="AB366" s="66"/>
    </row>
    <row r="367" spans="1:28">
      <c r="A367" s="10" t="s">
        <v>1543</v>
      </c>
      <c r="B367" s="16">
        <v>36136</v>
      </c>
      <c r="C367" s="10" t="s">
        <v>1663</v>
      </c>
      <c r="D367" s="10" t="s">
        <v>89</v>
      </c>
      <c r="E367" s="10" t="s">
        <v>183</v>
      </c>
      <c r="F367" s="10" t="s">
        <v>1672</v>
      </c>
      <c r="G367" s="65">
        <f>919947568158</f>
        <v>919947568158</v>
      </c>
      <c r="H367" s="18">
        <f>918590082143</f>
        <v>918590082143</v>
      </c>
      <c r="I367" s="10" t="s">
        <v>170</v>
      </c>
      <c r="J367" s="10" t="s">
        <v>2071</v>
      </c>
      <c r="K367" s="7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>
      <c r="A368" s="10" t="s">
        <v>1543</v>
      </c>
      <c r="B368" s="16">
        <v>36941</v>
      </c>
      <c r="C368" s="10" t="s">
        <v>2531</v>
      </c>
      <c r="D368" s="10" t="s">
        <v>89</v>
      </c>
      <c r="E368" s="10" t="s">
        <v>301</v>
      </c>
      <c r="F368" s="10" t="s">
        <v>3100</v>
      </c>
      <c r="G368" s="18">
        <f>918130733710</f>
        <v>918130733710</v>
      </c>
      <c r="H368" s="18">
        <f>919815156029</f>
        <v>919815156029</v>
      </c>
      <c r="I368" s="10" t="s">
        <v>170</v>
      </c>
      <c r="J368" s="10" t="s">
        <v>678</v>
      </c>
      <c r="K368" s="7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>
      <c r="A369" s="36" t="s">
        <v>1543</v>
      </c>
      <c r="B369" s="37">
        <v>38391</v>
      </c>
      <c r="C369" s="36" t="s">
        <v>2474</v>
      </c>
      <c r="D369" s="36" t="s">
        <v>89</v>
      </c>
      <c r="E369" s="36" t="s">
        <v>36</v>
      </c>
      <c r="F369" s="7"/>
      <c r="G369" s="7"/>
      <c r="H369" s="7"/>
      <c r="I369" s="7"/>
      <c r="J369" s="7"/>
      <c r="K369" s="7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>
      <c r="A370" s="36" t="s">
        <v>1543</v>
      </c>
      <c r="B370" s="69">
        <v>39630</v>
      </c>
      <c r="C370" s="36" t="s">
        <v>2595</v>
      </c>
      <c r="D370" s="36" t="s">
        <v>89</v>
      </c>
      <c r="E370" s="36" t="s">
        <v>36</v>
      </c>
      <c r="F370" s="7"/>
      <c r="G370" s="7"/>
      <c r="H370" s="7"/>
      <c r="I370" s="7"/>
      <c r="J370" s="7"/>
      <c r="K370" s="7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>
      <c r="A371" s="10" t="s">
        <v>1543</v>
      </c>
      <c r="B371" s="16">
        <v>36686</v>
      </c>
      <c r="C371" s="10" t="s">
        <v>2579</v>
      </c>
      <c r="D371" s="10" t="s">
        <v>89</v>
      </c>
      <c r="E371" s="10" t="s">
        <v>337</v>
      </c>
      <c r="F371" s="10" t="s">
        <v>3101</v>
      </c>
      <c r="G371" s="18">
        <f>919155625418</f>
        <v>919155625418</v>
      </c>
      <c r="H371" s="18">
        <f>917979801958</f>
        <v>917979801958</v>
      </c>
      <c r="I371" s="10" t="s">
        <v>310</v>
      </c>
      <c r="J371" s="10" t="s">
        <v>2562</v>
      </c>
      <c r="K371" s="7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>
      <c r="A372" s="83" t="s">
        <v>3102</v>
      </c>
      <c r="B372" s="80"/>
      <c r="C372" s="80"/>
      <c r="D372" s="80"/>
      <c r="E372" s="81"/>
      <c r="F372" s="14"/>
      <c r="G372" s="70"/>
      <c r="H372" s="14"/>
      <c r="I372" s="14"/>
      <c r="J372" s="14"/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>
      <c r="A373" s="41" t="s">
        <v>3</v>
      </c>
      <c r="B373" s="41" t="s">
        <v>2</v>
      </c>
      <c r="C373" s="41" t="s">
        <v>0</v>
      </c>
      <c r="D373" s="41" t="s">
        <v>4</v>
      </c>
      <c r="E373" s="41" t="s">
        <v>5</v>
      </c>
      <c r="F373" s="64" t="s">
        <v>6</v>
      </c>
      <c r="G373" s="2" t="s">
        <v>1684</v>
      </c>
      <c r="H373" s="2" t="s">
        <v>1685</v>
      </c>
      <c r="I373" s="2" t="s">
        <v>1687</v>
      </c>
      <c r="J373" s="2" t="s">
        <v>1690</v>
      </c>
      <c r="K373" s="7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>
      <c r="A374" s="10" t="s">
        <v>759</v>
      </c>
      <c r="B374" s="16">
        <v>40380</v>
      </c>
      <c r="C374" s="10" t="s">
        <v>786</v>
      </c>
      <c r="D374" s="10" t="s">
        <v>422</v>
      </c>
      <c r="E374" s="10" t="s">
        <v>72</v>
      </c>
      <c r="F374" s="71" t="s">
        <v>790</v>
      </c>
      <c r="G374" s="18">
        <f>919731725704</f>
        <v>919731725704</v>
      </c>
      <c r="H374" s="18">
        <f>919844076985</f>
        <v>919844076985</v>
      </c>
      <c r="I374" s="10" t="s">
        <v>170</v>
      </c>
      <c r="J374" s="10" t="s">
        <v>354</v>
      </c>
      <c r="K374" s="7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>
      <c r="A375" s="10" t="s">
        <v>759</v>
      </c>
      <c r="B375" s="16">
        <v>39297</v>
      </c>
      <c r="C375" s="10" t="s">
        <v>772</v>
      </c>
      <c r="D375" s="10" t="s">
        <v>422</v>
      </c>
      <c r="E375" s="10" t="s">
        <v>36</v>
      </c>
      <c r="F375" s="71" t="s">
        <v>3103</v>
      </c>
      <c r="G375" s="18">
        <f>918788550320</f>
        <v>918788550320</v>
      </c>
      <c r="H375" s="18">
        <f>919822980828</f>
        <v>919822980828</v>
      </c>
      <c r="I375" s="10" t="s">
        <v>170</v>
      </c>
      <c r="J375" s="10" t="s">
        <v>354</v>
      </c>
      <c r="K375" s="7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>
      <c r="A376" s="10" t="s">
        <v>759</v>
      </c>
      <c r="B376" s="16">
        <v>39901</v>
      </c>
      <c r="C376" s="10" t="s">
        <v>44</v>
      </c>
      <c r="D376" s="10" t="s">
        <v>422</v>
      </c>
      <c r="E376" s="10" t="s">
        <v>45</v>
      </c>
      <c r="F376" s="71" t="s">
        <v>595</v>
      </c>
      <c r="G376" s="18">
        <f>916909371133</f>
        <v>916909371133</v>
      </c>
      <c r="H376" s="18">
        <f>917709361973</f>
        <v>917709361973</v>
      </c>
      <c r="I376" s="10" t="s">
        <v>1767</v>
      </c>
      <c r="J376" s="10" t="s">
        <v>354</v>
      </c>
      <c r="K376" s="7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>
      <c r="A377" s="10" t="s">
        <v>759</v>
      </c>
      <c r="B377" s="16">
        <v>750</v>
      </c>
      <c r="C377" s="10" t="s">
        <v>528</v>
      </c>
      <c r="D377" s="10" t="s">
        <v>89</v>
      </c>
      <c r="E377" s="10" t="s">
        <v>337</v>
      </c>
      <c r="F377" s="71" t="s">
        <v>337</v>
      </c>
      <c r="G377" s="10" t="s">
        <v>2965</v>
      </c>
      <c r="H377" s="18">
        <f>917409906305</f>
        <v>917409906305</v>
      </c>
      <c r="I377" s="18">
        <f>916399818809</f>
        <v>916399818809</v>
      </c>
      <c r="J377" s="10" t="s">
        <v>170</v>
      </c>
      <c r="K377" s="7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>
      <c r="A378" s="10" t="s">
        <v>759</v>
      </c>
      <c r="B378" s="16">
        <v>39968</v>
      </c>
      <c r="C378" s="10" t="s">
        <v>424</v>
      </c>
      <c r="D378" s="10" t="s">
        <v>89</v>
      </c>
      <c r="E378" s="10" t="s">
        <v>36</v>
      </c>
      <c r="F378" s="71" t="s">
        <v>2946</v>
      </c>
      <c r="G378" s="18">
        <f>919420328821</f>
        <v>919420328821</v>
      </c>
      <c r="H378" s="18">
        <f>919881170000</f>
        <v>919881170000</v>
      </c>
      <c r="I378" s="10" t="s">
        <v>170</v>
      </c>
      <c r="J378" s="10" t="s">
        <v>354</v>
      </c>
      <c r="K378" s="7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>
      <c r="A379" s="10" t="s">
        <v>759</v>
      </c>
      <c r="B379" s="16">
        <v>39394</v>
      </c>
      <c r="C379" s="10" t="s">
        <v>1996</v>
      </c>
      <c r="D379" s="10" t="s">
        <v>89</v>
      </c>
      <c r="E379" s="10" t="s">
        <v>54</v>
      </c>
      <c r="F379" s="71" t="s">
        <v>3104</v>
      </c>
      <c r="G379" s="18">
        <f>918735074096</f>
        <v>918735074096</v>
      </c>
      <c r="H379" s="18">
        <f>919974374096</f>
        <v>919974374096</v>
      </c>
      <c r="I379" s="10" t="s">
        <v>310</v>
      </c>
      <c r="J379" s="10" t="s">
        <v>354</v>
      </c>
      <c r="K379" s="7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>
      <c r="A380" s="10" t="s">
        <v>759</v>
      </c>
      <c r="B380" s="16">
        <v>39654</v>
      </c>
      <c r="C380" s="10" t="s">
        <v>1986</v>
      </c>
      <c r="D380" s="10" t="s">
        <v>89</v>
      </c>
      <c r="E380" s="10" t="s">
        <v>798</v>
      </c>
      <c r="F380" s="71" t="s">
        <v>3105</v>
      </c>
      <c r="G380" s="18">
        <f>917419147148</f>
        <v>917419147148</v>
      </c>
      <c r="H380" s="18">
        <f>917419500947</f>
        <v>917419500947</v>
      </c>
      <c r="I380" s="10" t="s">
        <v>170</v>
      </c>
      <c r="J380" s="10" t="s">
        <v>354</v>
      </c>
      <c r="K380" s="7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>
      <c r="A381" s="10" t="s">
        <v>759</v>
      </c>
      <c r="B381" s="16">
        <v>40008</v>
      </c>
      <c r="C381" s="10" t="s">
        <v>470</v>
      </c>
      <c r="D381" s="10" t="s">
        <v>89</v>
      </c>
      <c r="E381" s="10" t="s">
        <v>72</v>
      </c>
      <c r="F381" s="71" t="s">
        <v>2933</v>
      </c>
      <c r="G381" s="18">
        <f>919686152441</f>
        <v>919686152441</v>
      </c>
      <c r="H381" s="18">
        <f>918217605377</f>
        <v>918217605377</v>
      </c>
      <c r="I381" s="10" t="s">
        <v>170</v>
      </c>
      <c r="J381" s="10" t="s">
        <v>592</v>
      </c>
      <c r="K381" s="7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>
      <c r="A382" s="10" t="s">
        <v>759</v>
      </c>
      <c r="B382" s="16">
        <v>39767</v>
      </c>
      <c r="C382" s="10" t="s">
        <v>3106</v>
      </c>
      <c r="D382" s="10" t="s">
        <v>89</v>
      </c>
      <c r="E382" s="10" t="s">
        <v>3107</v>
      </c>
      <c r="F382" s="71" t="s">
        <v>3108</v>
      </c>
      <c r="G382" s="18">
        <f>919752861635</f>
        <v>919752861635</v>
      </c>
      <c r="H382" s="18">
        <f>917773042189</f>
        <v>917773042189</v>
      </c>
      <c r="I382" s="10" t="s">
        <v>170</v>
      </c>
      <c r="J382" s="10" t="s">
        <v>3109</v>
      </c>
      <c r="K382" s="7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>
      <c r="A383" s="10" t="s">
        <v>759</v>
      </c>
      <c r="B383" s="16">
        <v>39518</v>
      </c>
      <c r="C383" s="10" t="s">
        <v>1990</v>
      </c>
      <c r="D383" s="10" t="s">
        <v>89</v>
      </c>
      <c r="E383" s="10" t="s">
        <v>36</v>
      </c>
      <c r="F383" s="71" t="s">
        <v>895</v>
      </c>
      <c r="G383" s="18">
        <f>919820200679</f>
        <v>919820200679</v>
      </c>
      <c r="H383" s="18">
        <f>917977742058</f>
        <v>917977742058</v>
      </c>
      <c r="I383" s="10" t="s">
        <v>310</v>
      </c>
      <c r="J383" s="10" t="s">
        <v>678</v>
      </c>
      <c r="K383" s="7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>
      <c r="A384" s="52" t="s">
        <v>759</v>
      </c>
      <c r="B384" s="53">
        <v>39190</v>
      </c>
      <c r="C384" s="52" t="s">
        <v>2044</v>
      </c>
      <c r="D384" s="52" t="s">
        <v>89</v>
      </c>
      <c r="E384" s="52" t="s">
        <v>36</v>
      </c>
      <c r="F384" s="72" t="s">
        <v>3110</v>
      </c>
      <c r="G384" s="54">
        <f>918412930179</f>
        <v>918412930179</v>
      </c>
      <c r="H384" s="54">
        <f>917058017509</f>
        <v>917058017509</v>
      </c>
      <c r="I384" s="52" t="s">
        <v>248</v>
      </c>
      <c r="J384" s="52" t="s">
        <v>3111</v>
      </c>
      <c r="K384" s="7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>
      <c r="A385" s="10" t="s">
        <v>759</v>
      </c>
      <c r="B385" s="16">
        <v>39915</v>
      </c>
      <c r="C385" s="10" t="s">
        <v>143</v>
      </c>
      <c r="D385" s="10" t="s">
        <v>89</v>
      </c>
      <c r="E385" s="10" t="s">
        <v>45</v>
      </c>
      <c r="F385" s="71" t="s">
        <v>623</v>
      </c>
      <c r="G385" s="7"/>
      <c r="H385" s="7"/>
      <c r="I385" s="10" t="s">
        <v>170</v>
      </c>
      <c r="J385" s="10" t="s">
        <v>2952</v>
      </c>
      <c r="K385" s="7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>
      <c r="A386" s="10" t="s">
        <v>759</v>
      </c>
      <c r="B386" s="16">
        <v>39689</v>
      </c>
      <c r="C386" s="10" t="s">
        <v>2054</v>
      </c>
      <c r="D386" s="10" t="s">
        <v>89</v>
      </c>
      <c r="E386" s="10" t="s">
        <v>45</v>
      </c>
      <c r="F386" s="71" t="s">
        <v>3112</v>
      </c>
      <c r="G386" s="18">
        <f>918794391802</f>
        <v>918794391802</v>
      </c>
      <c r="H386" s="18">
        <f>919856186959</f>
        <v>919856186959</v>
      </c>
      <c r="I386" s="10" t="s">
        <v>170</v>
      </c>
      <c r="J386" s="10" t="s">
        <v>354</v>
      </c>
      <c r="K386" s="7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>
      <c r="A387" s="10" t="s">
        <v>759</v>
      </c>
      <c r="B387" s="16">
        <v>39729</v>
      </c>
      <c r="C387" s="10" t="s">
        <v>2058</v>
      </c>
      <c r="D387" s="10" t="s">
        <v>89</v>
      </c>
      <c r="E387" s="10" t="s">
        <v>45</v>
      </c>
      <c r="F387" s="71" t="s">
        <v>3113</v>
      </c>
      <c r="G387" s="18">
        <f>918798905371</f>
        <v>918798905371</v>
      </c>
      <c r="H387" s="18">
        <f>918131821329</f>
        <v>918131821329</v>
      </c>
      <c r="I387" s="10" t="s">
        <v>170</v>
      </c>
      <c r="J387" s="10" t="s">
        <v>354</v>
      </c>
      <c r="K387" s="7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>
      <c r="A388" s="52" t="s">
        <v>759</v>
      </c>
      <c r="B388" s="53">
        <v>39731</v>
      </c>
      <c r="C388" s="52" t="s">
        <v>2049</v>
      </c>
      <c r="D388" s="52" t="s">
        <v>89</v>
      </c>
      <c r="E388" s="52" t="s">
        <v>349</v>
      </c>
      <c r="F388" s="72" t="s">
        <v>966</v>
      </c>
      <c r="G388" s="54">
        <f>919629654666</f>
        <v>919629654666</v>
      </c>
      <c r="H388" s="54">
        <f>919003541491</f>
        <v>919003541491</v>
      </c>
      <c r="I388" s="52" t="s">
        <v>196</v>
      </c>
      <c r="J388" s="52" t="s">
        <v>3114</v>
      </c>
      <c r="K388" s="7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>
      <c r="A389" s="10" t="s">
        <v>759</v>
      </c>
      <c r="B389" s="16">
        <v>39700</v>
      </c>
      <c r="C389" s="10" t="s">
        <v>2012</v>
      </c>
      <c r="D389" s="10" t="s">
        <v>89</v>
      </c>
      <c r="E389" s="10" t="s">
        <v>93</v>
      </c>
      <c r="F389" s="71" t="s">
        <v>2957</v>
      </c>
      <c r="G389" s="18">
        <f>919710596150</f>
        <v>919710596150</v>
      </c>
      <c r="H389" s="18">
        <f>919884470691</f>
        <v>919884470691</v>
      </c>
      <c r="I389" s="10" t="s">
        <v>131</v>
      </c>
      <c r="J389" s="10" t="s">
        <v>592</v>
      </c>
      <c r="K389" s="7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>
      <c r="A390" s="10" t="s">
        <v>759</v>
      </c>
      <c r="B390" s="16">
        <v>39401</v>
      </c>
      <c r="C390" s="10" t="s">
        <v>2876</v>
      </c>
      <c r="D390" s="10" t="s">
        <v>89</v>
      </c>
      <c r="E390" s="10" t="s">
        <v>155</v>
      </c>
      <c r="F390" s="71" t="s">
        <v>3115</v>
      </c>
      <c r="G390" s="18">
        <f>919094038275</f>
        <v>919094038275</v>
      </c>
      <c r="H390" s="18">
        <f>919941669005</f>
        <v>919941669005</v>
      </c>
      <c r="I390" s="10" t="s">
        <v>170</v>
      </c>
      <c r="J390" s="10" t="s">
        <v>2888</v>
      </c>
      <c r="K390" s="7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>
      <c r="A391" s="10" t="s">
        <v>759</v>
      </c>
      <c r="B391" s="16">
        <v>40007</v>
      </c>
      <c r="C391" s="10" t="s">
        <v>2061</v>
      </c>
      <c r="D391" s="10" t="s">
        <v>89</v>
      </c>
      <c r="E391" s="10" t="s">
        <v>216</v>
      </c>
      <c r="F391" s="71" t="s">
        <v>2961</v>
      </c>
      <c r="G391" s="18">
        <f>918500724716</f>
        <v>918500724716</v>
      </c>
      <c r="H391" s="18">
        <f>918106053535</f>
        <v>918106053535</v>
      </c>
      <c r="I391" s="10" t="s">
        <v>310</v>
      </c>
      <c r="J391" s="10" t="s">
        <v>678</v>
      </c>
      <c r="K391" s="7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>
      <c r="A392" s="10" t="s">
        <v>759</v>
      </c>
      <c r="B392" s="21">
        <v>39571</v>
      </c>
      <c r="C392" s="10" t="s">
        <v>2000</v>
      </c>
      <c r="D392" s="10" t="s">
        <v>89</v>
      </c>
      <c r="E392" s="10" t="s">
        <v>624</v>
      </c>
      <c r="F392" s="71" t="s">
        <v>3116</v>
      </c>
      <c r="G392" s="18">
        <f>919804749028</f>
        <v>919804749028</v>
      </c>
      <c r="H392" s="18">
        <f>917278394450</f>
        <v>917278394450</v>
      </c>
      <c r="I392" s="10" t="s">
        <v>170</v>
      </c>
      <c r="J392" s="10" t="s">
        <v>1275</v>
      </c>
      <c r="K392" s="7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>
      <c r="A393" s="10" t="s">
        <v>759</v>
      </c>
      <c r="B393" s="16">
        <v>39090</v>
      </c>
      <c r="C393" s="10" t="s">
        <v>2038</v>
      </c>
      <c r="D393" s="10" t="s">
        <v>89</v>
      </c>
      <c r="E393" s="10" t="s">
        <v>2039</v>
      </c>
      <c r="F393" s="71" t="s">
        <v>3117</v>
      </c>
      <c r="G393" s="18">
        <f>918839481708</f>
        <v>918839481708</v>
      </c>
      <c r="H393" s="18">
        <f>917697079706</f>
        <v>917697079706</v>
      </c>
      <c r="I393" s="10" t="s">
        <v>310</v>
      </c>
      <c r="J393" s="10" t="s">
        <v>3118</v>
      </c>
      <c r="K393" s="7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>
      <c r="A394" s="10" t="s">
        <v>759</v>
      </c>
      <c r="B394" s="16">
        <v>40060</v>
      </c>
      <c r="C394" s="10" t="s">
        <v>2022</v>
      </c>
      <c r="D394" s="10" t="s">
        <v>89</v>
      </c>
      <c r="E394" s="10" t="s">
        <v>36</v>
      </c>
      <c r="F394" s="71" t="s">
        <v>3119</v>
      </c>
      <c r="G394" s="18">
        <f>918767221339</f>
        <v>918767221339</v>
      </c>
      <c r="H394" s="18">
        <f>919422707086</f>
        <v>919422707086</v>
      </c>
      <c r="I394" s="10" t="s">
        <v>131</v>
      </c>
      <c r="J394" s="10" t="s">
        <v>678</v>
      </c>
      <c r="K394" s="7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>
      <c r="A395" s="10" t="s">
        <v>759</v>
      </c>
      <c r="B395" s="16">
        <v>39450</v>
      </c>
      <c r="C395" s="10" t="s">
        <v>2006</v>
      </c>
      <c r="D395" s="10" t="s">
        <v>89</v>
      </c>
      <c r="E395" s="10" t="s">
        <v>36</v>
      </c>
      <c r="F395" s="71" t="s">
        <v>3120</v>
      </c>
      <c r="G395" s="18">
        <f>917249822809</f>
        <v>917249822809</v>
      </c>
      <c r="H395" s="18">
        <f>918806085789</f>
        <v>918806085789</v>
      </c>
      <c r="I395" s="10" t="s">
        <v>131</v>
      </c>
      <c r="J395" s="10" t="s">
        <v>354</v>
      </c>
      <c r="K395" s="7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>
      <c r="A396" s="10" t="s">
        <v>759</v>
      </c>
      <c r="B396" s="16">
        <v>39512</v>
      </c>
      <c r="C396" s="10" t="s">
        <v>840</v>
      </c>
      <c r="D396" s="10" t="s">
        <v>89</v>
      </c>
      <c r="E396" s="10" t="s">
        <v>36</v>
      </c>
      <c r="F396" s="71" t="s">
        <v>846</v>
      </c>
      <c r="G396" s="18">
        <f>917385703483</f>
        <v>917385703483</v>
      </c>
      <c r="H396" s="18">
        <f>918766012395</f>
        <v>918766012395</v>
      </c>
      <c r="I396" s="10" t="s">
        <v>170</v>
      </c>
      <c r="J396" s="10" t="s">
        <v>2952</v>
      </c>
      <c r="K396" s="7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>
      <c r="A397" s="10" t="s">
        <v>759</v>
      </c>
      <c r="B397" s="16">
        <v>39238</v>
      </c>
      <c r="C397" s="10" t="s">
        <v>2033</v>
      </c>
      <c r="D397" s="10" t="s">
        <v>89</v>
      </c>
      <c r="E397" s="10" t="s">
        <v>337</v>
      </c>
      <c r="F397" s="71" t="s">
        <v>3121</v>
      </c>
      <c r="G397" s="18">
        <f>919259373365</f>
        <v>919259373365</v>
      </c>
      <c r="H397" s="18">
        <f>918126111611</f>
        <v>918126111611</v>
      </c>
      <c r="I397" s="10" t="s">
        <v>170</v>
      </c>
      <c r="J397" s="10" t="s">
        <v>678</v>
      </c>
      <c r="K397" s="7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>
      <c r="A398" s="10" t="s">
        <v>759</v>
      </c>
      <c r="B398" s="16">
        <v>39269</v>
      </c>
      <c r="C398" s="10" t="s">
        <v>821</v>
      </c>
      <c r="D398" s="10" t="s">
        <v>89</v>
      </c>
      <c r="E398" s="10" t="s">
        <v>26</v>
      </c>
      <c r="F398" s="71" t="s">
        <v>570</v>
      </c>
      <c r="G398" s="18">
        <f>919827716658</f>
        <v>919827716658</v>
      </c>
      <c r="H398" s="18">
        <f>919303106384</f>
        <v>919303106384</v>
      </c>
      <c r="I398" s="10" t="s">
        <v>170</v>
      </c>
      <c r="J398" s="10" t="s">
        <v>678</v>
      </c>
      <c r="K398" s="7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>
      <c r="A399" s="52" t="s">
        <v>873</v>
      </c>
      <c r="B399" s="53">
        <v>38170</v>
      </c>
      <c r="C399" s="52" t="s">
        <v>2088</v>
      </c>
      <c r="D399" s="52" t="s">
        <v>422</v>
      </c>
      <c r="E399" s="52" t="s">
        <v>36</v>
      </c>
      <c r="F399" s="72" t="s">
        <v>3122</v>
      </c>
      <c r="G399" s="54">
        <f>917420882804</f>
        <v>917420882804</v>
      </c>
      <c r="H399" s="54">
        <f>917058017509</f>
        <v>917058017509</v>
      </c>
      <c r="I399" s="52" t="s">
        <v>248</v>
      </c>
      <c r="J399" s="52" t="s">
        <v>3111</v>
      </c>
      <c r="K399" s="7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9"/>
      <c r="AA399" s="9"/>
      <c r="AB399" s="9"/>
    </row>
    <row r="400" spans="1:28">
      <c r="A400" s="10" t="s">
        <v>873</v>
      </c>
      <c r="B400" s="16">
        <v>38808</v>
      </c>
      <c r="C400" s="10" t="s">
        <v>891</v>
      </c>
      <c r="D400" s="10" t="s">
        <v>422</v>
      </c>
      <c r="E400" s="10" t="s">
        <v>36</v>
      </c>
      <c r="F400" s="71" t="s">
        <v>895</v>
      </c>
      <c r="G400" s="18">
        <f t="shared" ref="G400:H400" si="42">919820200679</f>
        <v>919820200679</v>
      </c>
      <c r="H400" s="18">
        <f t="shared" si="42"/>
        <v>919820200679</v>
      </c>
      <c r="I400" s="10" t="s">
        <v>131</v>
      </c>
      <c r="J400" s="10" t="s">
        <v>678</v>
      </c>
      <c r="K400" s="7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>
      <c r="A401" s="10" t="s">
        <v>873</v>
      </c>
      <c r="B401" s="16">
        <v>37996</v>
      </c>
      <c r="C401" s="10" t="s">
        <v>875</v>
      </c>
      <c r="D401" s="10" t="s">
        <v>422</v>
      </c>
      <c r="E401" s="10" t="s">
        <v>112</v>
      </c>
      <c r="F401" s="67"/>
      <c r="G401" s="7"/>
      <c r="H401" s="7"/>
      <c r="I401" s="7"/>
      <c r="J401" s="7"/>
      <c r="K401" s="7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>
      <c r="A402" s="10" t="s">
        <v>873</v>
      </c>
      <c r="B402" s="16">
        <v>38738</v>
      </c>
      <c r="C402" s="10" t="s">
        <v>2082</v>
      </c>
      <c r="D402" s="10" t="s">
        <v>422</v>
      </c>
      <c r="E402" s="10" t="s">
        <v>2083</v>
      </c>
      <c r="F402" s="71" t="s">
        <v>3123</v>
      </c>
      <c r="G402" s="18">
        <f>918837444952</f>
        <v>918837444952</v>
      </c>
      <c r="H402" s="18">
        <f>919612682605</f>
        <v>919612682605</v>
      </c>
      <c r="I402" s="10" t="s">
        <v>170</v>
      </c>
      <c r="J402" s="10" t="s">
        <v>678</v>
      </c>
      <c r="K402" s="7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>
      <c r="A403" s="10" t="s">
        <v>873</v>
      </c>
      <c r="B403" s="16">
        <v>38224</v>
      </c>
      <c r="C403" s="10" t="s">
        <v>2094</v>
      </c>
      <c r="D403" s="10" t="s">
        <v>422</v>
      </c>
      <c r="E403" s="10" t="s">
        <v>540</v>
      </c>
      <c r="F403" s="67"/>
      <c r="G403" s="7"/>
      <c r="H403" s="7"/>
      <c r="I403" s="7"/>
      <c r="J403" s="7"/>
      <c r="K403" s="7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>
      <c r="A404" s="10" t="s">
        <v>873</v>
      </c>
      <c r="B404" s="10" t="s">
        <v>3124</v>
      </c>
      <c r="C404" s="10" t="s">
        <v>965</v>
      </c>
      <c r="D404" s="10" t="s">
        <v>89</v>
      </c>
      <c r="E404" s="10" t="s">
        <v>112</v>
      </c>
      <c r="F404" s="67"/>
      <c r="G404" s="7"/>
      <c r="H404" s="7"/>
      <c r="I404" s="7"/>
      <c r="J404" s="7"/>
      <c r="K404" s="7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>
      <c r="A405" s="10" t="s">
        <v>873</v>
      </c>
      <c r="B405" s="10" t="s">
        <v>3125</v>
      </c>
      <c r="C405" s="10" t="s">
        <v>2140</v>
      </c>
      <c r="D405" s="10" t="s">
        <v>89</v>
      </c>
      <c r="E405" s="10" t="s">
        <v>112</v>
      </c>
      <c r="F405" s="67"/>
      <c r="G405" s="7"/>
      <c r="H405" s="7"/>
      <c r="I405" s="7"/>
      <c r="J405" s="7"/>
      <c r="K405" s="7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>
      <c r="A406" s="10" t="s">
        <v>873</v>
      </c>
      <c r="B406" s="16">
        <v>38297</v>
      </c>
      <c r="C406" s="10" t="s">
        <v>2119</v>
      </c>
      <c r="D406" s="10" t="s">
        <v>89</v>
      </c>
      <c r="E406" s="10" t="s">
        <v>36</v>
      </c>
      <c r="F406" s="71" t="s">
        <v>3126</v>
      </c>
      <c r="G406" s="18">
        <f>919172625665</f>
        <v>919172625665</v>
      </c>
      <c r="H406" s="18">
        <f>919421365877</f>
        <v>919421365877</v>
      </c>
      <c r="I406" s="10" t="s">
        <v>310</v>
      </c>
      <c r="J406" s="10" t="s">
        <v>354</v>
      </c>
      <c r="K406" s="7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>
      <c r="A407" s="10" t="s">
        <v>873</v>
      </c>
      <c r="B407" s="16">
        <v>39052</v>
      </c>
      <c r="C407" s="10" t="s">
        <v>2114</v>
      </c>
      <c r="D407" s="10" t="s">
        <v>89</v>
      </c>
      <c r="E407" s="10" t="s">
        <v>36</v>
      </c>
      <c r="F407" s="71" t="s">
        <v>3127</v>
      </c>
      <c r="G407" s="18">
        <f>918010945144</f>
        <v>918010945144</v>
      </c>
      <c r="H407" s="18">
        <f>919970834119</f>
        <v>919970834119</v>
      </c>
      <c r="I407" s="10" t="s">
        <v>170</v>
      </c>
      <c r="J407" s="10" t="s">
        <v>2983</v>
      </c>
      <c r="K407" s="7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>
      <c r="A408" s="10" t="s">
        <v>873</v>
      </c>
      <c r="B408" s="16">
        <v>38003</v>
      </c>
      <c r="C408" s="10" t="s">
        <v>2878</v>
      </c>
      <c r="D408" s="10" t="s">
        <v>89</v>
      </c>
      <c r="E408" s="10" t="s">
        <v>301</v>
      </c>
      <c r="F408" s="71" t="s">
        <v>3128</v>
      </c>
      <c r="G408" s="18">
        <f>919990664562</f>
        <v>919990664562</v>
      </c>
      <c r="H408" s="18">
        <f>918376994351</f>
        <v>918376994351</v>
      </c>
      <c r="I408" s="10" t="s">
        <v>310</v>
      </c>
      <c r="J408" s="10" t="s">
        <v>3129</v>
      </c>
      <c r="K408" s="7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>
      <c r="A409" s="10" t="s">
        <v>873</v>
      </c>
      <c r="B409" s="16">
        <v>38533</v>
      </c>
      <c r="C409" s="10" t="s">
        <v>951</v>
      </c>
      <c r="D409" s="10" t="s">
        <v>89</v>
      </c>
      <c r="E409" s="10" t="s">
        <v>72</v>
      </c>
      <c r="F409" s="71" t="s">
        <v>956</v>
      </c>
      <c r="G409" s="18">
        <f>919740554374</f>
        <v>919740554374</v>
      </c>
      <c r="H409" s="18">
        <f>918105066958</f>
        <v>918105066958</v>
      </c>
      <c r="I409" s="10" t="s">
        <v>131</v>
      </c>
      <c r="J409" s="10" t="s">
        <v>354</v>
      </c>
      <c r="K409" s="7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>
      <c r="A410" s="10" t="s">
        <v>873</v>
      </c>
      <c r="B410" s="16">
        <v>37321</v>
      </c>
      <c r="C410" s="10" t="s">
        <v>2124</v>
      </c>
      <c r="D410" s="10" t="s">
        <v>89</v>
      </c>
      <c r="E410" s="10" t="s">
        <v>45</v>
      </c>
      <c r="F410" s="71" t="s">
        <v>3130</v>
      </c>
      <c r="G410" s="18">
        <f>919560569422</f>
        <v>919560569422</v>
      </c>
      <c r="H410" s="18">
        <f>918787764642</f>
        <v>918787764642</v>
      </c>
      <c r="I410" s="10" t="s">
        <v>310</v>
      </c>
      <c r="J410" s="10" t="s">
        <v>1951</v>
      </c>
      <c r="K410" s="7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>
      <c r="A411" s="10" t="s">
        <v>873</v>
      </c>
      <c r="B411" s="16">
        <v>38805</v>
      </c>
      <c r="C411" s="10" t="s">
        <v>2130</v>
      </c>
      <c r="D411" s="10" t="s">
        <v>89</v>
      </c>
      <c r="E411" s="10" t="s">
        <v>2083</v>
      </c>
      <c r="F411" s="71" t="s">
        <v>3131</v>
      </c>
      <c r="G411" s="18">
        <f>919485154268</f>
        <v>919485154268</v>
      </c>
      <c r="H411" s="18">
        <f>916296152219</f>
        <v>916296152219</v>
      </c>
      <c r="I411" s="10" t="s">
        <v>310</v>
      </c>
      <c r="J411" s="10" t="s">
        <v>354</v>
      </c>
      <c r="K411" s="7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>
      <c r="A412" s="52" t="s">
        <v>873</v>
      </c>
      <c r="B412" s="73">
        <v>37182</v>
      </c>
      <c r="C412" s="52" t="s">
        <v>935</v>
      </c>
      <c r="D412" s="52" t="s">
        <v>89</v>
      </c>
      <c r="E412" s="52" t="s">
        <v>183</v>
      </c>
      <c r="F412" s="72" t="s">
        <v>942</v>
      </c>
      <c r="G412" s="55"/>
      <c r="H412" s="55"/>
      <c r="I412" s="52" t="s">
        <v>170</v>
      </c>
      <c r="J412" s="52" t="s">
        <v>354</v>
      </c>
      <c r="K412" s="7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>
      <c r="A413" s="10" t="s">
        <v>873</v>
      </c>
      <c r="B413" s="16">
        <v>38256</v>
      </c>
      <c r="C413" s="10" t="s">
        <v>2156</v>
      </c>
      <c r="D413" s="10" t="s">
        <v>89</v>
      </c>
      <c r="E413" s="10" t="s">
        <v>36</v>
      </c>
      <c r="F413" s="71" t="s">
        <v>3132</v>
      </c>
      <c r="G413" s="18">
        <f>919691334375</f>
        <v>919691334375</v>
      </c>
      <c r="H413" s="18">
        <f>917738534375</f>
        <v>917738534375</v>
      </c>
      <c r="I413" s="10" t="s">
        <v>170</v>
      </c>
      <c r="J413" s="10" t="s">
        <v>678</v>
      </c>
      <c r="K413" s="7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>
      <c r="A414" s="10" t="s">
        <v>873</v>
      </c>
      <c r="B414" s="16">
        <v>38939</v>
      </c>
      <c r="C414" s="10" t="s">
        <v>2145</v>
      </c>
      <c r="D414" s="10" t="s">
        <v>89</v>
      </c>
      <c r="E414" s="10" t="s">
        <v>36</v>
      </c>
      <c r="F414" s="71" t="s">
        <v>1445</v>
      </c>
      <c r="G414" s="18">
        <f>919699887309</f>
        <v>919699887309</v>
      </c>
      <c r="H414" s="18">
        <f>919175887309</f>
        <v>919175887309</v>
      </c>
      <c r="I414" s="10" t="s">
        <v>131</v>
      </c>
      <c r="J414" s="10" t="s">
        <v>354</v>
      </c>
      <c r="K414" s="7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>
      <c r="A415" s="10" t="s">
        <v>873</v>
      </c>
      <c r="B415" s="16">
        <v>38828</v>
      </c>
      <c r="C415" s="10" t="s">
        <v>2135</v>
      </c>
      <c r="D415" s="10" t="s">
        <v>89</v>
      </c>
      <c r="E415" s="10" t="s">
        <v>36</v>
      </c>
      <c r="F415" s="71" t="s">
        <v>3133</v>
      </c>
      <c r="G415" s="18">
        <f>918669938122</f>
        <v>918669938122</v>
      </c>
      <c r="H415" s="18">
        <f>918669938003</f>
        <v>918669938003</v>
      </c>
      <c r="I415" s="10" t="s">
        <v>310</v>
      </c>
      <c r="J415" s="10" t="s">
        <v>3134</v>
      </c>
      <c r="K415" s="7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>
      <c r="A416" s="10" t="s">
        <v>989</v>
      </c>
      <c r="B416" s="16">
        <v>36756</v>
      </c>
      <c r="C416" s="10" t="s">
        <v>2173</v>
      </c>
      <c r="D416" s="10" t="s">
        <v>422</v>
      </c>
      <c r="E416" s="10" t="s">
        <v>908</v>
      </c>
      <c r="F416" s="71" t="s">
        <v>3135</v>
      </c>
      <c r="G416" s="18">
        <f>918837090735</f>
        <v>918837090735</v>
      </c>
      <c r="H416" s="18">
        <f>916009336509</f>
        <v>916009336509</v>
      </c>
      <c r="I416" s="10" t="s">
        <v>131</v>
      </c>
      <c r="J416" s="10" t="s">
        <v>354</v>
      </c>
      <c r="K416" s="7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>
      <c r="A417" s="10" t="s">
        <v>989</v>
      </c>
      <c r="B417" s="16">
        <v>35641</v>
      </c>
      <c r="C417" s="10" t="s">
        <v>1027</v>
      </c>
      <c r="D417" s="10" t="s">
        <v>422</v>
      </c>
      <c r="E417" s="10" t="s">
        <v>908</v>
      </c>
      <c r="F417" s="71" t="s">
        <v>1031</v>
      </c>
      <c r="G417" s="18">
        <f>916009336509</f>
        <v>916009336509</v>
      </c>
      <c r="H417" s="18">
        <f>918837090735</f>
        <v>918837090735</v>
      </c>
      <c r="I417" s="10" t="s">
        <v>131</v>
      </c>
      <c r="J417" s="10" t="s">
        <v>678</v>
      </c>
      <c r="K417" s="7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>
      <c r="A418" s="10" t="s">
        <v>989</v>
      </c>
      <c r="B418" s="21">
        <v>37014</v>
      </c>
      <c r="C418" s="10" t="s">
        <v>2879</v>
      </c>
      <c r="D418" s="10" t="s">
        <v>422</v>
      </c>
      <c r="E418" s="10" t="s">
        <v>2881</v>
      </c>
      <c r="F418" s="71" t="s">
        <v>2915</v>
      </c>
      <c r="G418" s="18">
        <f>917743893281</f>
        <v>917743893281</v>
      </c>
      <c r="H418" s="18">
        <f>917517421206</f>
        <v>917517421206</v>
      </c>
      <c r="I418" s="10" t="s">
        <v>131</v>
      </c>
      <c r="J418" s="10" t="s">
        <v>354</v>
      </c>
      <c r="K418" s="7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>
      <c r="A419" s="10" t="s">
        <v>989</v>
      </c>
      <c r="B419" s="21" t="s">
        <v>992</v>
      </c>
      <c r="C419" s="10" t="s">
        <v>992</v>
      </c>
      <c r="D419" s="10" t="s">
        <v>422</v>
      </c>
      <c r="E419" s="10" t="s">
        <v>112</v>
      </c>
      <c r="F419" s="67"/>
      <c r="G419" s="7"/>
      <c r="H419" s="7"/>
      <c r="I419" s="7"/>
      <c r="J419" s="7"/>
      <c r="K419" s="7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>
      <c r="A420" s="10" t="s">
        <v>989</v>
      </c>
      <c r="B420" s="21">
        <v>36288</v>
      </c>
      <c r="C420" s="10" t="s">
        <v>2217</v>
      </c>
      <c r="D420" s="10" t="s">
        <v>89</v>
      </c>
      <c r="E420" s="10" t="s">
        <v>334</v>
      </c>
      <c r="F420" s="71" t="s">
        <v>3136</v>
      </c>
      <c r="G420" s="18">
        <f t="shared" ref="G420:H420" si="43">917972926178</f>
        <v>917972926178</v>
      </c>
      <c r="H420" s="18">
        <f t="shared" si="43"/>
        <v>917972926178</v>
      </c>
      <c r="I420" s="10" t="s">
        <v>131</v>
      </c>
      <c r="J420" s="10" t="s">
        <v>592</v>
      </c>
      <c r="K420" s="7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>
      <c r="A421" s="10" t="s">
        <v>989</v>
      </c>
      <c r="B421" s="16">
        <v>36050</v>
      </c>
      <c r="C421" s="10" t="s">
        <v>2211</v>
      </c>
      <c r="D421" s="10" t="s">
        <v>89</v>
      </c>
      <c r="E421" s="10" t="s">
        <v>2039</v>
      </c>
      <c r="F421" s="71" t="s">
        <v>3137</v>
      </c>
      <c r="G421" s="18">
        <f>917276343888</f>
        <v>917276343888</v>
      </c>
      <c r="H421" s="18">
        <f>917276342828</f>
        <v>917276342828</v>
      </c>
      <c r="I421" s="10" t="s">
        <v>170</v>
      </c>
      <c r="J421" s="10" t="s">
        <v>354</v>
      </c>
      <c r="K421" s="7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>
      <c r="A422" s="10" t="s">
        <v>989</v>
      </c>
      <c r="B422" s="16">
        <v>36763</v>
      </c>
      <c r="C422" s="10" t="s">
        <v>2196</v>
      </c>
      <c r="D422" s="10" t="s">
        <v>89</v>
      </c>
      <c r="E422" s="10" t="s">
        <v>301</v>
      </c>
      <c r="F422" s="71" t="s">
        <v>3138</v>
      </c>
      <c r="G422" s="18">
        <f>919810083323</f>
        <v>919810083323</v>
      </c>
      <c r="H422" s="18">
        <f>919810183444</f>
        <v>919810183444</v>
      </c>
      <c r="I422" s="10" t="s">
        <v>131</v>
      </c>
      <c r="J422" s="10" t="s">
        <v>475</v>
      </c>
      <c r="K422" s="7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>
      <c r="A423" s="10" t="s">
        <v>989</v>
      </c>
      <c r="B423" s="16">
        <v>35959</v>
      </c>
      <c r="C423" s="10" t="s">
        <v>1064</v>
      </c>
      <c r="D423" s="10" t="s">
        <v>89</v>
      </c>
      <c r="E423" s="10" t="s">
        <v>301</v>
      </c>
      <c r="F423" s="71" t="s">
        <v>1071</v>
      </c>
      <c r="G423" s="18">
        <f>919717353200</f>
        <v>919717353200</v>
      </c>
      <c r="H423" s="18">
        <f>919910120729</f>
        <v>919910120729</v>
      </c>
      <c r="I423" s="10" t="s">
        <v>131</v>
      </c>
      <c r="J423" s="10" t="s">
        <v>354</v>
      </c>
      <c r="K423" s="7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>
      <c r="A424" s="10" t="s">
        <v>989</v>
      </c>
      <c r="B424" s="16">
        <v>35970</v>
      </c>
      <c r="C424" s="10" t="s">
        <v>2220</v>
      </c>
      <c r="D424" s="10" t="s">
        <v>89</v>
      </c>
      <c r="E424" s="10" t="s">
        <v>72</v>
      </c>
      <c r="F424" s="71" t="s">
        <v>3139</v>
      </c>
      <c r="G424" s="18">
        <f>919611629898</f>
        <v>919611629898</v>
      </c>
      <c r="H424" s="18">
        <f>919880018899</f>
        <v>919880018899</v>
      </c>
      <c r="I424" s="10" t="s">
        <v>170</v>
      </c>
      <c r="J424" s="10" t="s">
        <v>678</v>
      </c>
      <c r="K424" s="7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>
      <c r="A425" s="10" t="s">
        <v>989</v>
      </c>
      <c r="B425" s="16">
        <v>36961</v>
      </c>
      <c r="C425" s="10" t="s">
        <v>2206</v>
      </c>
      <c r="D425" s="10" t="s">
        <v>89</v>
      </c>
      <c r="E425" s="10" t="s">
        <v>45</v>
      </c>
      <c r="F425" s="71" t="s">
        <v>3140</v>
      </c>
      <c r="G425" s="18">
        <f t="shared" ref="G425:H425" si="44">917085146486</f>
        <v>917085146486</v>
      </c>
      <c r="H425" s="18">
        <f t="shared" si="44"/>
        <v>917085146486</v>
      </c>
      <c r="I425" s="10" t="s">
        <v>248</v>
      </c>
      <c r="J425" s="10" t="s">
        <v>354</v>
      </c>
      <c r="K425" s="7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>
      <c r="A426" s="10" t="s">
        <v>989</v>
      </c>
      <c r="B426" s="16">
        <v>36956</v>
      </c>
      <c r="C426" s="10" t="s">
        <v>1048</v>
      </c>
      <c r="D426" s="10" t="s">
        <v>89</v>
      </c>
      <c r="E426" s="10" t="s">
        <v>183</v>
      </c>
      <c r="F426" s="71" t="s">
        <v>1058</v>
      </c>
      <c r="G426" s="18">
        <f>918208650838</f>
        <v>918208650838</v>
      </c>
      <c r="H426" s="18">
        <f>918888907533</f>
        <v>918888907533</v>
      </c>
      <c r="I426" s="10" t="s">
        <v>248</v>
      </c>
      <c r="J426" s="10" t="s">
        <v>354</v>
      </c>
      <c r="K426" s="7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>
      <c r="A427" s="10" t="s">
        <v>989</v>
      </c>
      <c r="B427" s="16">
        <v>36496</v>
      </c>
      <c r="C427" s="10" t="s">
        <v>1037</v>
      </c>
      <c r="D427" s="10" t="s">
        <v>89</v>
      </c>
      <c r="E427" s="10" t="s">
        <v>183</v>
      </c>
      <c r="F427" s="71" t="s">
        <v>1045</v>
      </c>
      <c r="G427" s="18">
        <f>917038109096</f>
        <v>917038109096</v>
      </c>
      <c r="H427" s="18">
        <f>918424038989</f>
        <v>918424038989</v>
      </c>
      <c r="I427" s="10" t="s">
        <v>170</v>
      </c>
      <c r="J427" s="10" t="s">
        <v>3141</v>
      </c>
      <c r="K427" s="7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>
      <c r="A428" s="10" t="s">
        <v>989</v>
      </c>
      <c r="B428" s="21">
        <v>37029</v>
      </c>
      <c r="C428" s="10" t="s">
        <v>2191</v>
      </c>
      <c r="D428" s="10" t="s">
        <v>89</v>
      </c>
      <c r="E428" s="10" t="s">
        <v>36</v>
      </c>
      <c r="F428" s="71" t="s">
        <v>3142</v>
      </c>
      <c r="G428" s="18">
        <f>919518536583</f>
        <v>919518536583</v>
      </c>
      <c r="H428" s="18">
        <f>919356648325</f>
        <v>919356648325</v>
      </c>
      <c r="I428" s="10" t="s">
        <v>170</v>
      </c>
      <c r="J428" s="10" t="s">
        <v>3143</v>
      </c>
      <c r="K428" s="7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>
      <c r="A429" s="10" t="s">
        <v>1093</v>
      </c>
      <c r="B429" s="21">
        <v>34462</v>
      </c>
      <c r="C429" s="10" t="s">
        <v>3144</v>
      </c>
      <c r="D429" s="10" t="s">
        <v>422</v>
      </c>
      <c r="E429" s="10" t="s">
        <v>908</v>
      </c>
      <c r="F429" s="71" t="s">
        <v>3145</v>
      </c>
      <c r="G429" s="18">
        <f>919774880697</f>
        <v>919774880697</v>
      </c>
      <c r="H429" s="18">
        <f>917640928625</f>
        <v>917640928625</v>
      </c>
      <c r="I429" s="10" t="s">
        <v>131</v>
      </c>
      <c r="J429" s="10" t="s">
        <v>354</v>
      </c>
      <c r="K429" s="7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>
      <c r="A430" s="10" t="s">
        <v>1093</v>
      </c>
      <c r="B430" s="21">
        <v>34099</v>
      </c>
      <c r="C430" s="10" t="s">
        <v>1094</v>
      </c>
      <c r="D430" s="10" t="s">
        <v>422</v>
      </c>
      <c r="E430" s="10" t="s">
        <v>36</v>
      </c>
      <c r="F430" s="71" t="s">
        <v>1101</v>
      </c>
      <c r="G430" s="18">
        <f>919545940430</f>
        <v>919545940430</v>
      </c>
      <c r="H430" s="18">
        <f>919130060601</f>
        <v>919130060601</v>
      </c>
      <c r="I430" s="10" t="s">
        <v>1767</v>
      </c>
      <c r="J430" s="10" t="s">
        <v>354</v>
      </c>
      <c r="K430" s="7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>
      <c r="A431" s="10" t="s">
        <v>1093</v>
      </c>
      <c r="B431" s="16">
        <v>34389</v>
      </c>
      <c r="C431" s="10" t="s">
        <v>2247</v>
      </c>
      <c r="D431" s="10" t="s">
        <v>89</v>
      </c>
      <c r="E431" s="10" t="s">
        <v>36</v>
      </c>
      <c r="F431" s="71" t="s">
        <v>3146</v>
      </c>
      <c r="G431" s="18">
        <f>917720047376</f>
        <v>917720047376</v>
      </c>
      <c r="H431" s="18">
        <f>919028561204</f>
        <v>919028561204</v>
      </c>
      <c r="I431" s="10" t="s">
        <v>248</v>
      </c>
      <c r="J431" s="10" t="s">
        <v>2376</v>
      </c>
      <c r="K431" s="7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>
      <c r="A432" s="10" t="s">
        <v>1093</v>
      </c>
      <c r="B432" s="16">
        <v>34784</v>
      </c>
      <c r="C432" s="10" t="s">
        <v>1150</v>
      </c>
      <c r="D432" s="10" t="s">
        <v>89</v>
      </c>
      <c r="E432" s="10" t="s">
        <v>36</v>
      </c>
      <c r="F432" s="71" t="s">
        <v>1158</v>
      </c>
      <c r="G432" s="18">
        <f t="shared" ref="G432:H432" si="45">917389924231</f>
        <v>917389924231</v>
      </c>
      <c r="H432" s="18">
        <f t="shared" si="45"/>
        <v>917389924231</v>
      </c>
      <c r="I432" s="10" t="s">
        <v>170</v>
      </c>
      <c r="J432" s="10" t="s">
        <v>2376</v>
      </c>
      <c r="K432" s="7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>
      <c r="A433" s="10" t="s">
        <v>1093</v>
      </c>
      <c r="B433" s="16">
        <v>35350</v>
      </c>
      <c r="C433" s="10" t="s">
        <v>1144</v>
      </c>
      <c r="D433" s="10" t="s">
        <v>89</v>
      </c>
      <c r="E433" s="10" t="s">
        <v>301</v>
      </c>
      <c r="F433" s="71" t="s">
        <v>1146</v>
      </c>
      <c r="G433" s="18">
        <f>918285736766</f>
        <v>918285736766</v>
      </c>
      <c r="H433" s="18">
        <f>919315368660</f>
        <v>919315368660</v>
      </c>
      <c r="I433" s="10" t="s">
        <v>310</v>
      </c>
      <c r="J433" s="10" t="s">
        <v>3147</v>
      </c>
      <c r="K433" s="7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>
      <c r="A434" s="10" t="s">
        <v>1093</v>
      </c>
      <c r="B434" s="16">
        <v>33639</v>
      </c>
      <c r="C434" s="10" t="s">
        <v>1126</v>
      </c>
      <c r="D434" s="10" t="s">
        <v>89</v>
      </c>
      <c r="E434" s="10" t="s">
        <v>45</v>
      </c>
      <c r="F434" s="71" t="s">
        <v>1134</v>
      </c>
      <c r="G434" s="18">
        <f>918983464381</f>
        <v>918983464381</v>
      </c>
      <c r="H434" s="18">
        <f>917709361973</f>
        <v>917709361973</v>
      </c>
      <c r="I434" s="10" t="s">
        <v>310</v>
      </c>
      <c r="J434" s="10" t="s">
        <v>2952</v>
      </c>
      <c r="K434" s="7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>
      <c r="A435" s="10" t="s">
        <v>1093</v>
      </c>
      <c r="B435" s="16">
        <v>34050</v>
      </c>
      <c r="C435" s="10" t="s">
        <v>2241</v>
      </c>
      <c r="D435" s="10" t="s">
        <v>89</v>
      </c>
      <c r="E435" s="10" t="s">
        <v>908</v>
      </c>
      <c r="F435" s="71" t="s">
        <v>3148</v>
      </c>
      <c r="G435" s="18">
        <f>919612088788</f>
        <v>919612088788</v>
      </c>
      <c r="H435" s="18">
        <f>919383189314</f>
        <v>919383189314</v>
      </c>
      <c r="I435" s="10" t="s">
        <v>310</v>
      </c>
      <c r="J435" s="10" t="s">
        <v>354</v>
      </c>
      <c r="K435" s="7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>
      <c r="A436" s="10" t="s">
        <v>1183</v>
      </c>
      <c r="B436" s="16">
        <v>31844</v>
      </c>
      <c r="C436" s="10" t="s">
        <v>1187</v>
      </c>
      <c r="D436" s="10" t="s">
        <v>422</v>
      </c>
      <c r="E436" s="10" t="s">
        <v>908</v>
      </c>
      <c r="F436" s="71" t="s">
        <v>1192</v>
      </c>
      <c r="G436" s="18">
        <f>917005624217</f>
        <v>917005624217</v>
      </c>
      <c r="H436" s="18">
        <f>919856949898</f>
        <v>919856949898</v>
      </c>
      <c r="I436" s="10" t="s">
        <v>1767</v>
      </c>
      <c r="J436" s="10" t="s">
        <v>1976</v>
      </c>
      <c r="K436" s="7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>
      <c r="A437" s="10" t="s">
        <v>1183</v>
      </c>
      <c r="B437" s="16">
        <v>32343</v>
      </c>
      <c r="C437" s="10" t="s">
        <v>1243</v>
      </c>
      <c r="D437" s="10" t="s">
        <v>89</v>
      </c>
      <c r="E437" s="10" t="s">
        <v>36</v>
      </c>
      <c r="F437" s="71" t="s">
        <v>1250</v>
      </c>
      <c r="G437" s="18">
        <f>919769957711</f>
        <v>919769957711</v>
      </c>
      <c r="H437" s="18">
        <f>918879690787</f>
        <v>918879690787</v>
      </c>
      <c r="I437" s="10" t="s">
        <v>170</v>
      </c>
      <c r="J437" s="10" t="s">
        <v>354</v>
      </c>
      <c r="K437" s="7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>
      <c r="A438" s="10" t="s">
        <v>1183</v>
      </c>
      <c r="B438" s="16">
        <v>33356</v>
      </c>
      <c r="C438" s="10" t="s">
        <v>1231</v>
      </c>
      <c r="D438" s="10" t="s">
        <v>89</v>
      </c>
      <c r="E438" s="10" t="s">
        <v>845</v>
      </c>
      <c r="F438" s="71" t="s">
        <v>1234</v>
      </c>
      <c r="G438" s="18">
        <f>919007988108</f>
        <v>919007988108</v>
      </c>
      <c r="H438" s="18">
        <f>919940441912</f>
        <v>919940441912</v>
      </c>
      <c r="I438" s="10" t="s">
        <v>310</v>
      </c>
      <c r="J438" s="10" t="s">
        <v>678</v>
      </c>
      <c r="K438" s="7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>
      <c r="A439" s="10" t="s">
        <v>1183</v>
      </c>
      <c r="B439" s="16">
        <v>32919</v>
      </c>
      <c r="C439" s="10" t="s">
        <v>3149</v>
      </c>
      <c r="D439" s="10" t="s">
        <v>89</v>
      </c>
      <c r="E439" s="10" t="s">
        <v>3150</v>
      </c>
      <c r="F439" s="71" t="s">
        <v>3151</v>
      </c>
      <c r="G439" s="18">
        <f>918830797152</f>
        <v>918830797152</v>
      </c>
      <c r="H439" s="18">
        <f>919765297042</f>
        <v>919765297042</v>
      </c>
      <c r="I439" s="10" t="s">
        <v>170</v>
      </c>
      <c r="J439" s="10" t="s">
        <v>1976</v>
      </c>
      <c r="K439" s="7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>
      <c r="A440" s="10" t="s">
        <v>1183</v>
      </c>
      <c r="B440" s="16">
        <v>32882</v>
      </c>
      <c r="C440" s="10" t="s">
        <v>2269</v>
      </c>
      <c r="D440" s="10" t="s">
        <v>89</v>
      </c>
      <c r="E440" s="10" t="s">
        <v>26</v>
      </c>
      <c r="F440" s="71" t="s">
        <v>3152</v>
      </c>
      <c r="G440" s="18">
        <f>918600127993</f>
        <v>918600127993</v>
      </c>
      <c r="H440" s="18">
        <f>917898733776</f>
        <v>917898733776</v>
      </c>
      <c r="I440" s="10" t="s">
        <v>170</v>
      </c>
      <c r="J440" s="10" t="s">
        <v>354</v>
      </c>
      <c r="K440" s="7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>
      <c r="A441" s="10" t="s">
        <v>1183</v>
      </c>
      <c r="B441" s="16">
        <v>33044</v>
      </c>
      <c r="C441" s="10" t="s">
        <v>2290</v>
      </c>
      <c r="D441" s="10" t="s">
        <v>89</v>
      </c>
      <c r="E441" s="10" t="s">
        <v>36</v>
      </c>
      <c r="F441" s="71" t="s">
        <v>3153</v>
      </c>
      <c r="G441" s="18">
        <f>919923466620</f>
        <v>919923466620</v>
      </c>
      <c r="H441" s="18">
        <f>919096990571</f>
        <v>919096990571</v>
      </c>
      <c r="I441" s="10" t="s">
        <v>310</v>
      </c>
      <c r="J441" s="10" t="s">
        <v>592</v>
      </c>
      <c r="K441" s="7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>
      <c r="A442" s="10" t="s">
        <v>1183</v>
      </c>
      <c r="B442" s="16">
        <v>32964</v>
      </c>
      <c r="C442" s="10" t="s">
        <v>1215</v>
      </c>
      <c r="D442" s="10" t="s">
        <v>89</v>
      </c>
      <c r="E442" s="10" t="s">
        <v>45</v>
      </c>
      <c r="F442" s="71" t="s">
        <v>1221</v>
      </c>
      <c r="G442" s="18">
        <f>919637433586</f>
        <v>919637433586</v>
      </c>
      <c r="H442" s="18">
        <f>917709361973</f>
        <v>917709361973</v>
      </c>
      <c r="I442" s="10" t="s">
        <v>170</v>
      </c>
      <c r="J442" s="10" t="s">
        <v>2952</v>
      </c>
      <c r="K442" s="7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>
      <c r="A443" s="10" t="s">
        <v>1183</v>
      </c>
      <c r="B443" s="16">
        <v>32119</v>
      </c>
      <c r="C443" s="10" t="s">
        <v>2274</v>
      </c>
      <c r="D443" s="10" t="s">
        <v>89</v>
      </c>
      <c r="E443" s="10" t="s">
        <v>194</v>
      </c>
      <c r="F443" s="71" t="s">
        <v>3154</v>
      </c>
      <c r="G443" s="18">
        <f>918600244103</f>
        <v>918600244103</v>
      </c>
      <c r="H443" s="18">
        <f>919545068472</f>
        <v>919545068472</v>
      </c>
      <c r="I443" s="10" t="s">
        <v>248</v>
      </c>
      <c r="J443" s="10" t="s">
        <v>1951</v>
      </c>
      <c r="K443" s="7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>
      <c r="A444" s="10" t="s">
        <v>1183</v>
      </c>
      <c r="B444" s="16">
        <v>32608</v>
      </c>
      <c r="C444" s="10" t="s">
        <v>2295</v>
      </c>
      <c r="D444" s="10" t="s">
        <v>89</v>
      </c>
      <c r="E444" s="10" t="s">
        <v>36</v>
      </c>
      <c r="F444" s="71" t="s">
        <v>3155</v>
      </c>
      <c r="G444" s="18">
        <f>918600688689</f>
        <v>918600688689</v>
      </c>
      <c r="H444" s="18">
        <f>919561853655</f>
        <v>919561853655</v>
      </c>
      <c r="I444" s="10" t="s">
        <v>310</v>
      </c>
      <c r="J444" s="10" t="s">
        <v>354</v>
      </c>
      <c r="K444" s="7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>
      <c r="A445" s="10" t="s">
        <v>1183</v>
      </c>
      <c r="B445" s="16">
        <v>32780</v>
      </c>
      <c r="C445" s="10" t="s">
        <v>2285</v>
      </c>
      <c r="D445" s="10" t="s">
        <v>89</v>
      </c>
      <c r="E445" s="10" t="s">
        <v>36</v>
      </c>
      <c r="F445" s="71" t="s">
        <v>3156</v>
      </c>
      <c r="G445" s="18">
        <f>919665298269</f>
        <v>919665298269</v>
      </c>
      <c r="H445" s="18">
        <f>919404504467</f>
        <v>919404504467</v>
      </c>
      <c r="I445" s="10" t="s">
        <v>248</v>
      </c>
      <c r="J445" s="10" t="s">
        <v>678</v>
      </c>
      <c r="K445" s="7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>
      <c r="A446" s="10" t="s">
        <v>1183</v>
      </c>
      <c r="B446" s="16">
        <v>33210</v>
      </c>
      <c r="C446" s="10" t="s">
        <v>2280</v>
      </c>
      <c r="D446" s="10" t="s">
        <v>89</v>
      </c>
      <c r="E446" s="10" t="s">
        <v>36</v>
      </c>
      <c r="F446" s="67"/>
      <c r="G446" s="7"/>
      <c r="H446" s="7"/>
      <c r="I446" s="7"/>
      <c r="J446" s="7"/>
      <c r="K446" s="7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>
      <c r="A447" s="10" t="s">
        <v>1276</v>
      </c>
      <c r="B447" s="16">
        <v>30419</v>
      </c>
      <c r="C447" s="10" t="s">
        <v>3157</v>
      </c>
      <c r="D447" s="10" t="s">
        <v>422</v>
      </c>
      <c r="E447" s="10" t="s">
        <v>36</v>
      </c>
      <c r="F447" s="74" t="s">
        <v>3158</v>
      </c>
      <c r="G447" s="7"/>
      <c r="H447" s="7"/>
      <c r="I447" s="7"/>
      <c r="J447" s="7"/>
      <c r="K447" s="7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>
      <c r="A448" s="10" t="s">
        <v>1276</v>
      </c>
      <c r="B448" s="16">
        <v>31125</v>
      </c>
      <c r="C448" s="10" t="s">
        <v>2313</v>
      </c>
      <c r="D448" s="10" t="s">
        <v>89</v>
      </c>
      <c r="E448" s="10" t="s">
        <v>36</v>
      </c>
      <c r="F448" s="71" t="s">
        <v>3159</v>
      </c>
      <c r="G448" s="18">
        <f>919619064411</f>
        <v>919619064411</v>
      </c>
      <c r="H448" s="18">
        <f>918918806896</f>
        <v>918918806896</v>
      </c>
      <c r="I448" s="10" t="s">
        <v>310</v>
      </c>
      <c r="J448" s="10" t="s">
        <v>354</v>
      </c>
      <c r="K448" s="7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>
      <c r="A449" s="10" t="s">
        <v>1276</v>
      </c>
      <c r="B449" s="16">
        <v>31087</v>
      </c>
      <c r="C449" s="10" t="s">
        <v>2323</v>
      </c>
      <c r="D449" s="10" t="s">
        <v>89</v>
      </c>
      <c r="E449" s="10" t="s">
        <v>36</v>
      </c>
      <c r="F449" s="71" t="s">
        <v>3160</v>
      </c>
      <c r="G449" s="18">
        <f>919970667556</f>
        <v>919970667556</v>
      </c>
      <c r="H449" s="18">
        <f>917020521016</f>
        <v>917020521016</v>
      </c>
      <c r="I449" s="10" t="s">
        <v>310</v>
      </c>
      <c r="J449" s="10" t="s">
        <v>3161</v>
      </c>
      <c r="K449" s="7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>
      <c r="A450" s="10" t="s">
        <v>1276</v>
      </c>
      <c r="B450" s="16">
        <v>30326</v>
      </c>
      <c r="C450" s="10" t="s">
        <v>2328</v>
      </c>
      <c r="D450" s="10" t="s">
        <v>89</v>
      </c>
      <c r="E450" s="10" t="s">
        <v>36</v>
      </c>
      <c r="F450" s="71" t="s">
        <v>3162</v>
      </c>
      <c r="G450" s="18">
        <f>919850560645</f>
        <v>919850560645</v>
      </c>
      <c r="H450" s="18">
        <f>919850468884</f>
        <v>919850468884</v>
      </c>
      <c r="I450" s="10" t="s">
        <v>131</v>
      </c>
      <c r="J450" s="10" t="s">
        <v>592</v>
      </c>
      <c r="K450" s="7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>
      <c r="A451" s="10" t="s">
        <v>1276</v>
      </c>
      <c r="B451" s="16">
        <v>30692</v>
      </c>
      <c r="C451" s="10" t="s">
        <v>2883</v>
      </c>
      <c r="D451" s="10" t="s">
        <v>89</v>
      </c>
      <c r="E451" s="10" t="s">
        <v>72</v>
      </c>
      <c r="F451" s="71" t="s">
        <v>3163</v>
      </c>
      <c r="G451" s="18">
        <f t="shared" ref="G451:H451" si="46">919881232394</f>
        <v>919881232394</v>
      </c>
      <c r="H451" s="18">
        <f t="shared" si="46"/>
        <v>919881232394</v>
      </c>
      <c r="I451" s="10" t="s">
        <v>170</v>
      </c>
      <c r="J451" s="10" t="s">
        <v>678</v>
      </c>
      <c r="K451" s="7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>
      <c r="A452" s="10" t="s">
        <v>1276</v>
      </c>
      <c r="B452" s="16">
        <v>30011</v>
      </c>
      <c r="C452" s="10" t="s">
        <v>1277</v>
      </c>
      <c r="D452" s="10" t="s">
        <v>89</v>
      </c>
      <c r="E452" s="10" t="s">
        <v>45</v>
      </c>
      <c r="F452" s="71" t="s">
        <v>1283</v>
      </c>
      <c r="G452" s="18">
        <f>919717680552</f>
        <v>919717680552</v>
      </c>
      <c r="H452" s="18">
        <f>918178796848</f>
        <v>918178796848</v>
      </c>
      <c r="I452" s="10" t="s">
        <v>310</v>
      </c>
      <c r="J452" s="10" t="s">
        <v>354</v>
      </c>
      <c r="K452" s="7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>
      <c r="A453" s="10" t="s">
        <v>1276</v>
      </c>
      <c r="B453" s="16">
        <v>30763</v>
      </c>
      <c r="C453" s="10" t="s">
        <v>2318</v>
      </c>
      <c r="D453" s="10" t="s">
        <v>89</v>
      </c>
      <c r="E453" s="10" t="s">
        <v>908</v>
      </c>
      <c r="F453" s="71" t="s">
        <v>3164</v>
      </c>
      <c r="G453" s="18">
        <f>918794069579</f>
        <v>918794069579</v>
      </c>
      <c r="H453" s="18">
        <f>919863911110</f>
        <v>919863911110</v>
      </c>
      <c r="I453" s="10" t="s">
        <v>310</v>
      </c>
      <c r="J453" s="10" t="s">
        <v>678</v>
      </c>
      <c r="K453" s="7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>
      <c r="A454" s="10" t="s">
        <v>1276</v>
      </c>
      <c r="B454" s="16">
        <v>31155</v>
      </c>
      <c r="C454" s="10" t="s">
        <v>1292</v>
      </c>
      <c r="D454" s="10" t="s">
        <v>89</v>
      </c>
      <c r="E454" s="10" t="s">
        <v>908</v>
      </c>
      <c r="F454" s="71" t="s">
        <v>1295</v>
      </c>
      <c r="G454" s="18">
        <f>919774663743</f>
        <v>919774663743</v>
      </c>
      <c r="H454" s="18">
        <f>918787801602</f>
        <v>918787801602</v>
      </c>
      <c r="I454" s="10" t="s">
        <v>170</v>
      </c>
      <c r="J454" s="10" t="s">
        <v>678</v>
      </c>
      <c r="K454" s="7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>
      <c r="A455" s="36" t="s">
        <v>1276</v>
      </c>
      <c r="B455" s="69">
        <v>31601</v>
      </c>
      <c r="C455" s="36" t="s">
        <v>1304</v>
      </c>
      <c r="D455" s="36" t="s">
        <v>89</v>
      </c>
      <c r="E455" s="36" t="s">
        <v>194</v>
      </c>
      <c r="F455" s="75"/>
      <c r="G455" s="55"/>
      <c r="H455" s="55"/>
      <c r="I455" s="55"/>
      <c r="J455" s="55"/>
      <c r="K455" s="7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>
      <c r="A456" s="10" t="s">
        <v>1333</v>
      </c>
      <c r="B456" s="16">
        <v>29769</v>
      </c>
      <c r="C456" s="10" t="s">
        <v>2335</v>
      </c>
      <c r="D456" s="10" t="s">
        <v>422</v>
      </c>
      <c r="E456" s="10" t="s">
        <v>72</v>
      </c>
      <c r="F456" s="71" t="s">
        <v>3165</v>
      </c>
      <c r="G456" s="18">
        <f>919916206921</f>
        <v>919916206921</v>
      </c>
      <c r="H456" s="18">
        <f>919900020228</f>
        <v>919900020228</v>
      </c>
      <c r="I456" s="10" t="s">
        <v>131</v>
      </c>
      <c r="J456" s="10" t="s">
        <v>678</v>
      </c>
      <c r="K456" s="7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>
      <c r="A457" s="10" t="s">
        <v>1333</v>
      </c>
      <c r="B457" s="16">
        <v>29775</v>
      </c>
      <c r="C457" s="10" t="s">
        <v>1334</v>
      </c>
      <c r="D457" s="10" t="s">
        <v>89</v>
      </c>
      <c r="E457" s="10" t="s">
        <v>36</v>
      </c>
      <c r="F457" s="71" t="s">
        <v>1338</v>
      </c>
      <c r="G457" s="18">
        <f>918830710795</f>
        <v>918830710795</v>
      </c>
      <c r="H457" s="18">
        <f>917579093708</f>
        <v>917579093708</v>
      </c>
      <c r="I457" s="10" t="s">
        <v>170</v>
      </c>
      <c r="J457" s="10" t="s">
        <v>354</v>
      </c>
      <c r="K457" s="7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>
      <c r="A458" s="10" t="s">
        <v>1333</v>
      </c>
      <c r="B458" s="16">
        <v>29026</v>
      </c>
      <c r="C458" s="10" t="s">
        <v>2884</v>
      </c>
      <c r="D458" s="10" t="s">
        <v>89</v>
      </c>
      <c r="E458" s="10" t="s">
        <v>36</v>
      </c>
      <c r="F458" s="71" t="s">
        <v>2104</v>
      </c>
      <c r="G458" s="18">
        <f>918888856427</f>
        <v>918888856427</v>
      </c>
      <c r="H458" s="18">
        <f>919860211299</f>
        <v>919860211299</v>
      </c>
      <c r="I458" s="10" t="s">
        <v>170</v>
      </c>
      <c r="J458" s="10" t="s">
        <v>312</v>
      </c>
      <c r="K458" s="7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>
      <c r="A459" s="52" t="s">
        <v>1333</v>
      </c>
      <c r="B459" s="73">
        <v>29833</v>
      </c>
      <c r="C459" s="52" t="s">
        <v>1344</v>
      </c>
      <c r="D459" s="52" t="s">
        <v>89</v>
      </c>
      <c r="E459" s="52" t="s">
        <v>72</v>
      </c>
      <c r="F459" s="72" t="s">
        <v>1346</v>
      </c>
      <c r="G459" s="54">
        <f>919810091943</f>
        <v>919810091943</v>
      </c>
      <c r="H459" s="54">
        <f>919650066161</f>
        <v>919650066161</v>
      </c>
      <c r="I459" s="52" t="s">
        <v>170</v>
      </c>
      <c r="J459" s="52" t="s">
        <v>678</v>
      </c>
      <c r="K459" s="7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9"/>
      <c r="AA459" s="9"/>
      <c r="AB459" s="9"/>
    </row>
    <row r="460" spans="1:28">
      <c r="A460" s="10" t="s">
        <v>1333</v>
      </c>
      <c r="B460" s="16">
        <v>28551</v>
      </c>
      <c r="C460" s="10" t="s">
        <v>1355</v>
      </c>
      <c r="D460" s="10" t="s">
        <v>89</v>
      </c>
      <c r="E460" s="10" t="s">
        <v>624</v>
      </c>
      <c r="F460" s="71" t="s">
        <v>1363</v>
      </c>
      <c r="G460" s="18">
        <f>919475852056</f>
        <v>919475852056</v>
      </c>
      <c r="H460" s="18">
        <f>919547996986</f>
        <v>919547996986</v>
      </c>
      <c r="I460" s="10" t="s">
        <v>248</v>
      </c>
      <c r="J460" s="10" t="s">
        <v>3166</v>
      </c>
      <c r="K460" s="7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>
      <c r="A461" s="10" t="s">
        <v>1333</v>
      </c>
      <c r="B461" s="21">
        <v>29760</v>
      </c>
      <c r="C461" s="10" t="s">
        <v>3167</v>
      </c>
      <c r="D461" s="10" t="s">
        <v>89</v>
      </c>
      <c r="E461" s="10" t="s">
        <v>36</v>
      </c>
      <c r="F461" s="74" t="s">
        <v>3158</v>
      </c>
      <c r="G461" s="7"/>
      <c r="H461" s="7"/>
      <c r="I461" s="7"/>
      <c r="J461" s="7"/>
      <c r="K461" s="7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>
      <c r="A462" s="10" t="s">
        <v>1380</v>
      </c>
      <c r="B462" s="21">
        <v>27531</v>
      </c>
      <c r="C462" s="10" t="s">
        <v>1399</v>
      </c>
      <c r="D462" s="10" t="s">
        <v>89</v>
      </c>
      <c r="E462" s="10" t="s">
        <v>36</v>
      </c>
      <c r="F462" s="71" t="s">
        <v>1403</v>
      </c>
      <c r="G462" s="18">
        <f>918698853600</f>
        <v>918698853600</v>
      </c>
      <c r="H462" s="18">
        <f>919527045962</f>
        <v>919527045962</v>
      </c>
      <c r="I462" s="10" t="s">
        <v>170</v>
      </c>
      <c r="J462" s="10" t="s">
        <v>592</v>
      </c>
      <c r="K462" s="7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>
      <c r="A463" s="10" t="s">
        <v>1380</v>
      </c>
      <c r="B463" s="16">
        <v>26947</v>
      </c>
      <c r="C463" s="10" t="s">
        <v>1382</v>
      </c>
      <c r="D463" s="10" t="s">
        <v>89</v>
      </c>
      <c r="E463" s="10" t="s">
        <v>194</v>
      </c>
      <c r="F463" s="71" t="s">
        <v>1389</v>
      </c>
      <c r="G463" s="18">
        <f>917388800000</f>
        <v>917388800000</v>
      </c>
      <c r="H463" s="18">
        <f>917524999990</f>
        <v>917524999990</v>
      </c>
      <c r="I463" s="10" t="s">
        <v>170</v>
      </c>
      <c r="J463" s="10" t="s">
        <v>1951</v>
      </c>
      <c r="K463" s="7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>
      <c r="A464" s="10" t="s">
        <v>1425</v>
      </c>
      <c r="B464" s="16">
        <v>24719</v>
      </c>
      <c r="C464" s="10" t="s">
        <v>2886</v>
      </c>
      <c r="D464" s="10" t="s">
        <v>89</v>
      </c>
      <c r="E464" s="10" t="s">
        <v>36</v>
      </c>
      <c r="F464" s="71" t="s">
        <v>3168</v>
      </c>
      <c r="G464" s="18">
        <f>919850811882</f>
        <v>919850811882</v>
      </c>
      <c r="H464" s="18">
        <f>919850811873</f>
        <v>919850811873</v>
      </c>
      <c r="I464" s="10" t="s">
        <v>170</v>
      </c>
      <c r="J464" s="10" t="s">
        <v>354</v>
      </c>
      <c r="K464" s="7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>
      <c r="A465" s="10" t="s">
        <v>1425</v>
      </c>
      <c r="B465" s="16">
        <v>25993</v>
      </c>
      <c r="C465" s="10" t="s">
        <v>1428</v>
      </c>
      <c r="D465" s="10" t="s">
        <v>89</v>
      </c>
      <c r="E465" s="10" t="s">
        <v>908</v>
      </c>
      <c r="F465" s="71" t="s">
        <v>1434</v>
      </c>
      <c r="G465" s="18">
        <f>918119846919</f>
        <v>918119846919</v>
      </c>
      <c r="H465" s="18">
        <f>917005486934</f>
        <v>917005486934</v>
      </c>
      <c r="I465" s="10" t="s">
        <v>1767</v>
      </c>
      <c r="J465" s="10" t="s">
        <v>1976</v>
      </c>
      <c r="K465" s="7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>
      <c r="A466" s="10" t="s">
        <v>1425</v>
      </c>
      <c r="B466" s="16">
        <v>24990</v>
      </c>
      <c r="C466" s="10" t="s">
        <v>1442</v>
      </c>
      <c r="D466" s="10" t="s">
        <v>89</v>
      </c>
      <c r="E466" s="10" t="s">
        <v>36</v>
      </c>
      <c r="F466" s="71" t="s">
        <v>1445</v>
      </c>
      <c r="G466" s="18">
        <f>919823295094</f>
        <v>919823295094</v>
      </c>
      <c r="H466" s="18">
        <f>919158827027</f>
        <v>919158827027</v>
      </c>
      <c r="I466" s="10" t="s">
        <v>170</v>
      </c>
      <c r="J466" s="10" t="s">
        <v>354</v>
      </c>
      <c r="K466" s="7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>
      <c r="A467" s="10" t="s">
        <v>1464</v>
      </c>
      <c r="B467" s="16">
        <v>24227</v>
      </c>
      <c r="C467" s="10" t="s">
        <v>1468</v>
      </c>
      <c r="D467" s="10" t="s">
        <v>89</v>
      </c>
      <c r="E467" s="10" t="s">
        <v>36</v>
      </c>
      <c r="F467" s="71" t="s">
        <v>3169</v>
      </c>
      <c r="G467" s="18">
        <f>919623987666</f>
        <v>919623987666</v>
      </c>
      <c r="H467" s="18">
        <f>918830325546</f>
        <v>918830325546</v>
      </c>
      <c r="I467" s="10" t="s">
        <v>248</v>
      </c>
      <c r="J467" s="10" t="s">
        <v>475</v>
      </c>
      <c r="K467" s="7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>
      <c r="A468" s="9"/>
      <c r="B468" s="9"/>
      <c r="C468" s="9"/>
      <c r="D468" s="9"/>
      <c r="E468" s="9"/>
      <c r="F468" s="9"/>
      <c r="G468" s="7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>
      <c r="A469" s="9"/>
      <c r="B469" s="9"/>
      <c r="C469" s="9"/>
      <c r="D469" s="9"/>
      <c r="E469" s="9"/>
      <c r="F469" s="9"/>
      <c r="G469" s="7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>
      <c r="A470" s="9"/>
      <c r="B470" s="9"/>
      <c r="C470" s="9"/>
      <c r="D470" s="9"/>
      <c r="E470" s="9"/>
      <c r="F470" s="9"/>
      <c r="G470" s="7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>
      <c r="A471" s="9"/>
      <c r="B471" s="9"/>
      <c r="C471" s="9"/>
      <c r="D471" s="9"/>
      <c r="E471" s="9"/>
      <c r="F471" s="9"/>
      <c r="G471" s="7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>
      <c r="A472" s="9"/>
      <c r="B472" s="9"/>
      <c r="C472" s="9"/>
      <c r="D472" s="9"/>
      <c r="E472" s="9"/>
      <c r="F472" s="9"/>
      <c r="G472" s="7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>
      <c r="A473" s="9"/>
      <c r="B473" s="9"/>
      <c r="C473" s="9"/>
      <c r="D473" s="9"/>
      <c r="E473" s="9"/>
      <c r="F473" s="9"/>
      <c r="G473" s="7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>
      <c r="A474" s="9"/>
      <c r="B474" s="9"/>
      <c r="C474" s="9"/>
      <c r="D474" s="9"/>
      <c r="E474" s="9"/>
      <c r="F474" s="9"/>
      <c r="G474" s="7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>
      <c r="A475" s="9"/>
      <c r="B475" s="9"/>
      <c r="C475" s="9"/>
      <c r="D475" s="9"/>
      <c r="E475" s="9"/>
      <c r="F475" s="9"/>
      <c r="G475" s="7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>
      <c r="A476" s="9"/>
      <c r="B476" s="9"/>
      <c r="C476" s="9"/>
      <c r="D476" s="9"/>
      <c r="E476" s="9"/>
      <c r="F476" s="9"/>
      <c r="G476" s="7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>
      <c r="A477" s="9"/>
      <c r="B477" s="9"/>
      <c r="C477" s="9"/>
      <c r="D477" s="9"/>
      <c r="E477" s="9"/>
      <c r="F477" s="9"/>
      <c r="G477" s="7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>
      <c r="A478" s="9"/>
      <c r="B478" s="9"/>
      <c r="C478" s="9"/>
      <c r="D478" s="9"/>
      <c r="E478" s="9"/>
      <c r="F478" s="9"/>
      <c r="G478" s="7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>
      <c r="A479" s="9"/>
      <c r="B479" s="9"/>
      <c r="C479" s="9"/>
      <c r="D479" s="9"/>
      <c r="E479" s="9"/>
      <c r="F479" s="9"/>
      <c r="G479" s="7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>
      <c r="A480" s="9"/>
      <c r="B480" s="9"/>
      <c r="C480" s="9"/>
      <c r="D480" s="9"/>
      <c r="E480" s="9"/>
      <c r="F480" s="9"/>
      <c r="G480" s="7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>
      <c r="A481" s="9"/>
      <c r="B481" s="9"/>
      <c r="C481" s="9"/>
      <c r="D481" s="9"/>
      <c r="E481" s="9"/>
      <c r="F481" s="9"/>
      <c r="G481" s="7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>
      <c r="A482" s="9"/>
      <c r="B482" s="9"/>
      <c r="C482" s="9"/>
      <c r="D482" s="9"/>
      <c r="E482" s="9"/>
      <c r="F482" s="9"/>
      <c r="G482" s="7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>
      <c r="A483" s="9"/>
      <c r="B483" s="9"/>
      <c r="C483" s="9"/>
      <c r="D483" s="9"/>
      <c r="E483" s="9"/>
      <c r="F483" s="9"/>
      <c r="G483" s="7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>
      <c r="A484" s="9"/>
      <c r="B484" s="9"/>
      <c r="C484" s="9"/>
      <c r="D484" s="9"/>
      <c r="E484" s="9"/>
      <c r="F484" s="9"/>
      <c r="G484" s="7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>
      <c r="A485" s="9"/>
      <c r="B485" s="9"/>
      <c r="C485" s="9"/>
      <c r="D485" s="9"/>
      <c r="E485" s="9"/>
      <c r="F485" s="9"/>
      <c r="G485" s="7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>
      <c r="A486" s="9"/>
      <c r="B486" s="9"/>
      <c r="C486" s="9"/>
      <c r="D486" s="9"/>
      <c r="E486" s="9"/>
      <c r="F486" s="9"/>
      <c r="G486" s="7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>
      <c r="A487" s="9"/>
      <c r="B487" s="9"/>
      <c r="C487" s="9"/>
      <c r="D487" s="9"/>
      <c r="E487" s="9"/>
      <c r="F487" s="9"/>
      <c r="G487" s="7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>
      <c r="A488" s="9"/>
      <c r="B488" s="9"/>
      <c r="C488" s="9"/>
      <c r="D488" s="9"/>
      <c r="E488" s="9"/>
      <c r="F488" s="9"/>
      <c r="G488" s="7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>
      <c r="A489" s="9"/>
      <c r="B489" s="9"/>
      <c r="C489" s="9"/>
      <c r="D489" s="9"/>
      <c r="E489" s="9"/>
      <c r="F489" s="9"/>
      <c r="G489" s="7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>
      <c r="A490" s="9"/>
      <c r="B490" s="9"/>
      <c r="C490" s="9"/>
      <c r="D490" s="9"/>
      <c r="E490" s="9"/>
      <c r="F490" s="9"/>
      <c r="G490" s="7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>
      <c r="A491" s="9"/>
      <c r="B491" s="9"/>
      <c r="C491" s="9"/>
      <c r="D491" s="9"/>
      <c r="E491" s="9"/>
      <c r="F491" s="9"/>
      <c r="G491" s="7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>
      <c r="A492" s="9"/>
      <c r="B492" s="9"/>
      <c r="C492" s="9"/>
      <c r="D492" s="9"/>
      <c r="E492" s="9"/>
      <c r="F492" s="9"/>
      <c r="G492" s="7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>
      <c r="A493" s="9"/>
      <c r="B493" s="9"/>
      <c r="C493" s="9"/>
      <c r="D493" s="9"/>
      <c r="E493" s="9"/>
      <c r="F493" s="9"/>
      <c r="G493" s="7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>
      <c r="A494" s="9"/>
      <c r="B494" s="9"/>
      <c r="C494" s="9"/>
      <c r="D494" s="9"/>
      <c r="E494" s="9"/>
      <c r="F494" s="9"/>
      <c r="G494" s="7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>
      <c r="A495" s="9"/>
      <c r="B495" s="9"/>
      <c r="C495" s="9"/>
      <c r="D495" s="9"/>
      <c r="E495" s="9"/>
      <c r="F495" s="9"/>
      <c r="G495" s="7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>
      <c r="A496" s="9"/>
      <c r="B496" s="9"/>
      <c r="C496" s="9"/>
      <c r="D496" s="9"/>
      <c r="E496" s="9"/>
      <c r="F496" s="9"/>
      <c r="G496" s="7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>
      <c r="A497" s="9"/>
      <c r="B497" s="9"/>
      <c r="C497" s="9"/>
      <c r="D497" s="9"/>
      <c r="E497" s="9"/>
      <c r="F497" s="9"/>
      <c r="G497" s="7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>
      <c r="A498" s="9"/>
      <c r="B498" s="9"/>
      <c r="C498" s="9"/>
      <c r="D498" s="9"/>
      <c r="E498" s="9"/>
      <c r="F498" s="9"/>
      <c r="G498" s="7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>
      <c r="A499" s="9"/>
      <c r="B499" s="9"/>
      <c r="C499" s="9"/>
      <c r="D499" s="9"/>
      <c r="E499" s="9"/>
      <c r="F499" s="9"/>
      <c r="G499" s="7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>
      <c r="A500" s="9"/>
      <c r="B500" s="9"/>
      <c r="C500" s="9"/>
      <c r="D500" s="9"/>
      <c r="E500" s="9"/>
      <c r="F500" s="9"/>
      <c r="G500" s="77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>
      <c r="A501" s="9"/>
      <c r="B501" s="9"/>
      <c r="C501" s="9"/>
      <c r="D501" s="9"/>
      <c r="E501" s="9"/>
      <c r="F501" s="9"/>
      <c r="G501" s="77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>
      <c r="A502" s="9"/>
      <c r="B502" s="9"/>
      <c r="C502" s="9"/>
      <c r="D502" s="9"/>
      <c r="E502" s="9"/>
      <c r="F502" s="9"/>
      <c r="G502" s="77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>
      <c r="A503" s="9"/>
      <c r="B503" s="9"/>
      <c r="C503" s="9"/>
      <c r="D503" s="9"/>
      <c r="E503" s="9"/>
      <c r="F503" s="9"/>
      <c r="G503" s="77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>
      <c r="A504" s="9"/>
      <c r="B504" s="9"/>
      <c r="C504" s="9"/>
      <c r="D504" s="9"/>
      <c r="E504" s="9"/>
      <c r="F504" s="9"/>
      <c r="G504" s="77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>
      <c r="A505" s="9"/>
      <c r="B505" s="9"/>
      <c r="C505" s="9"/>
      <c r="D505" s="9"/>
      <c r="E505" s="9"/>
      <c r="F505" s="9"/>
      <c r="G505" s="7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>
      <c r="A506" s="9"/>
      <c r="B506" s="9"/>
      <c r="C506" s="9"/>
      <c r="D506" s="9"/>
      <c r="E506" s="9"/>
      <c r="F506" s="9"/>
      <c r="G506" s="77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>
      <c r="A507" s="9"/>
      <c r="B507" s="9"/>
      <c r="C507" s="9"/>
      <c r="D507" s="9"/>
      <c r="E507" s="9"/>
      <c r="F507" s="9"/>
      <c r="G507" s="77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>
      <c r="A508" s="9"/>
      <c r="B508" s="9"/>
      <c r="C508" s="9"/>
      <c r="D508" s="9"/>
      <c r="E508" s="9"/>
      <c r="F508" s="9"/>
      <c r="G508" s="77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>
      <c r="A509" s="9"/>
      <c r="B509" s="9"/>
      <c r="C509" s="9"/>
      <c r="D509" s="9"/>
      <c r="E509" s="9"/>
      <c r="F509" s="9"/>
      <c r="G509" s="77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>
      <c r="A510" s="9"/>
      <c r="B510" s="9"/>
      <c r="C510" s="9"/>
      <c r="D510" s="9"/>
      <c r="E510" s="9"/>
      <c r="F510" s="9"/>
      <c r="G510" s="77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>
      <c r="A511" s="9"/>
      <c r="B511" s="9"/>
      <c r="C511" s="9"/>
      <c r="D511" s="9"/>
      <c r="E511" s="9"/>
      <c r="F511" s="9"/>
      <c r="G511" s="77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>
      <c r="A512" s="9"/>
      <c r="B512" s="9"/>
      <c r="C512" s="9"/>
      <c r="D512" s="9"/>
      <c r="E512" s="9"/>
      <c r="F512" s="9"/>
      <c r="G512" s="77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>
      <c r="A513" s="9"/>
      <c r="B513" s="9"/>
      <c r="C513" s="9"/>
      <c r="D513" s="9"/>
      <c r="E513" s="9"/>
      <c r="F513" s="9"/>
      <c r="G513" s="77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>
      <c r="A514" s="9"/>
      <c r="B514" s="9"/>
      <c r="C514" s="9"/>
      <c r="D514" s="9"/>
      <c r="E514" s="9"/>
      <c r="F514" s="9"/>
      <c r="G514" s="77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>
      <c r="A515" s="9"/>
      <c r="B515" s="9"/>
      <c r="C515" s="9"/>
      <c r="D515" s="9"/>
      <c r="E515" s="9"/>
      <c r="F515" s="9"/>
      <c r="G515" s="77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>
      <c r="A516" s="9"/>
      <c r="B516" s="9"/>
      <c r="C516" s="9"/>
      <c r="D516" s="9"/>
      <c r="E516" s="9"/>
      <c r="F516" s="9"/>
      <c r="G516" s="77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>
      <c r="A517" s="9"/>
      <c r="B517" s="9"/>
      <c r="C517" s="9"/>
      <c r="D517" s="9"/>
      <c r="E517" s="9"/>
      <c r="F517" s="9"/>
      <c r="G517" s="77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>
      <c r="A518" s="9"/>
      <c r="B518" s="9"/>
      <c r="C518" s="9"/>
      <c r="D518" s="9"/>
      <c r="E518" s="9"/>
      <c r="F518" s="9"/>
      <c r="G518" s="77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>
      <c r="A519" s="9"/>
      <c r="B519" s="9"/>
      <c r="C519" s="9"/>
      <c r="D519" s="9"/>
      <c r="E519" s="9"/>
      <c r="F519" s="9"/>
      <c r="G519" s="77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>
      <c r="A520" s="9"/>
      <c r="B520" s="9"/>
      <c r="C520" s="9"/>
      <c r="D520" s="9"/>
      <c r="E520" s="9"/>
      <c r="F520" s="9"/>
      <c r="G520" s="77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78"/>
      <c r="AA521" s="78"/>
      <c r="AB521" s="78"/>
    </row>
    <row r="522" spans="1:28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78"/>
      <c r="AA522" s="78"/>
      <c r="AB522" s="78"/>
    </row>
    <row r="523" spans="1:28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78"/>
      <c r="AA523" s="78"/>
      <c r="AB523" s="78"/>
    </row>
    <row r="524" spans="1:28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78"/>
      <c r="AA524" s="78"/>
      <c r="AB524" s="78"/>
    </row>
    <row r="525" spans="1:28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78"/>
      <c r="AA525" s="78"/>
      <c r="AB525" s="78"/>
    </row>
    <row r="526" spans="1:28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78"/>
      <c r="AA526" s="78"/>
      <c r="AB526" s="78"/>
    </row>
    <row r="527" spans="1:28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78"/>
      <c r="AA527" s="78"/>
      <c r="AB527" s="78"/>
    </row>
    <row r="528" spans="1: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78"/>
      <c r="AA528" s="78"/>
      <c r="AB528" s="78"/>
    </row>
    <row r="529" spans="1:28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78"/>
      <c r="AA529" s="78"/>
      <c r="AB529" s="78"/>
    </row>
    <row r="530" spans="1:28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78"/>
      <c r="AA530" s="78"/>
      <c r="AB530" s="78"/>
    </row>
    <row r="531" spans="1:28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78"/>
      <c r="AA531" s="78"/>
      <c r="AB531" s="78"/>
    </row>
    <row r="532" spans="1:28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78"/>
      <c r="AA532" s="78"/>
      <c r="AB532" s="78"/>
    </row>
    <row r="533" spans="1:28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78"/>
      <c r="AA533" s="78"/>
      <c r="AB533" s="78"/>
    </row>
    <row r="534" spans="1:28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78"/>
      <c r="AA534" s="78"/>
      <c r="AB534" s="78"/>
    </row>
    <row r="535" spans="1:28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78"/>
      <c r="AA535" s="78"/>
      <c r="AB535" s="78"/>
    </row>
    <row r="536" spans="1:28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78"/>
      <c r="AA536" s="78"/>
      <c r="AB536" s="78"/>
    </row>
    <row r="537" spans="1:28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78"/>
      <c r="AA537" s="78"/>
      <c r="AB537" s="78"/>
    </row>
    <row r="538" spans="1:2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78"/>
      <c r="AA538" s="78"/>
      <c r="AB538" s="78"/>
    </row>
    <row r="539" spans="1:28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78"/>
      <c r="AA539" s="78"/>
      <c r="AB539" s="78"/>
    </row>
    <row r="540" spans="1:28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78"/>
      <c r="AA540" s="78"/>
      <c r="AB540" s="78"/>
    </row>
    <row r="541" spans="1:28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78"/>
      <c r="AA541" s="78"/>
      <c r="AB541" s="78"/>
    </row>
    <row r="542" spans="1:28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78"/>
      <c r="AA542" s="78"/>
      <c r="AB542" s="78"/>
    </row>
    <row r="543" spans="1:28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78"/>
      <c r="AA543" s="78"/>
      <c r="AB543" s="78"/>
    </row>
    <row r="544" spans="1:28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78"/>
      <c r="AA544" s="78"/>
      <c r="AB544" s="78"/>
    </row>
    <row r="545" spans="1:28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78"/>
      <c r="AA545" s="78"/>
      <c r="AB545" s="78"/>
    </row>
    <row r="546" spans="1:28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78"/>
      <c r="AA546" s="78"/>
      <c r="AB546" s="78"/>
    </row>
    <row r="547" spans="1:28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78"/>
      <c r="AA547" s="78"/>
      <c r="AB547" s="78"/>
    </row>
    <row r="548" spans="1:2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78"/>
      <c r="AA548" s="78"/>
      <c r="AB548" s="78"/>
    </row>
    <row r="549" spans="1:28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78"/>
      <c r="AA549" s="78"/>
      <c r="AB549" s="78"/>
    </row>
    <row r="550" spans="1:28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78"/>
      <c r="AA550" s="78"/>
      <c r="AB550" s="78"/>
    </row>
    <row r="551" spans="1:28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78"/>
      <c r="AA551" s="78"/>
      <c r="AB551" s="78"/>
    </row>
    <row r="552" spans="1:28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78"/>
      <c r="AA552" s="78"/>
      <c r="AB552" s="78"/>
    </row>
    <row r="553" spans="1:28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78"/>
      <c r="AA553" s="78"/>
      <c r="AB553" s="78"/>
    </row>
    <row r="554" spans="1:28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78"/>
      <c r="AA554" s="78"/>
      <c r="AB554" s="78"/>
    </row>
    <row r="555" spans="1:28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78"/>
      <c r="AA555" s="78"/>
      <c r="AB555" s="78"/>
    </row>
    <row r="556" spans="1:28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78"/>
      <c r="AA556" s="78"/>
      <c r="AB556" s="78"/>
    </row>
    <row r="557" spans="1:28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78"/>
      <c r="AA557" s="78"/>
      <c r="AB557" s="78"/>
    </row>
    <row r="558" spans="1:2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78"/>
      <c r="AA558" s="78"/>
      <c r="AB558" s="78"/>
    </row>
    <row r="559" spans="1:28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78"/>
      <c r="AA559" s="78"/>
      <c r="AB559" s="78"/>
    </row>
    <row r="560" spans="1:28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78"/>
      <c r="AA560" s="78"/>
      <c r="AB560" s="78"/>
    </row>
    <row r="561" spans="1:28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78"/>
      <c r="AA561" s="78"/>
      <c r="AB561" s="78"/>
    </row>
    <row r="562" spans="1:28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78"/>
      <c r="AA562" s="78"/>
      <c r="AB562" s="78"/>
    </row>
    <row r="563" spans="1:28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78"/>
      <c r="AA563" s="78"/>
      <c r="AB563" s="78"/>
    </row>
    <row r="564" spans="1:28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78"/>
      <c r="AA564" s="78"/>
      <c r="AB564" s="78"/>
    </row>
    <row r="565" spans="1:28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78"/>
      <c r="AA565" s="78"/>
      <c r="AB565" s="78"/>
    </row>
    <row r="566" spans="1:28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78"/>
      <c r="AA566" s="78"/>
      <c r="AB566" s="78"/>
    </row>
    <row r="567" spans="1:28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78"/>
      <c r="AA567" s="78"/>
      <c r="AB567" s="78"/>
    </row>
    <row r="568" spans="1:2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78"/>
      <c r="AA568" s="78"/>
      <c r="AB568" s="78"/>
    </row>
    <row r="569" spans="1:28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78"/>
      <c r="AA569" s="78"/>
      <c r="AB569" s="78"/>
    </row>
    <row r="570" spans="1:28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78"/>
      <c r="AA570" s="78"/>
      <c r="AB570" s="78"/>
    </row>
    <row r="571" spans="1:28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78"/>
      <c r="AA571" s="78"/>
      <c r="AB571" s="78"/>
    </row>
    <row r="572" spans="1:28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78"/>
      <c r="AA572" s="78"/>
      <c r="AB572" s="78"/>
    </row>
    <row r="573" spans="1:28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78"/>
      <c r="AA573" s="78"/>
      <c r="AB573" s="78"/>
    </row>
    <row r="574" spans="1:28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78"/>
      <c r="AA574" s="78"/>
      <c r="AB574" s="78"/>
    </row>
    <row r="575" spans="1:28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78"/>
      <c r="AA575" s="78"/>
      <c r="AB575" s="78"/>
    </row>
    <row r="576" spans="1:28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78"/>
      <c r="AA576" s="78"/>
      <c r="AB576" s="78"/>
    </row>
    <row r="577" spans="1:28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78"/>
      <c r="AA577" s="78"/>
      <c r="AB577" s="78"/>
    </row>
    <row r="578" spans="1:2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78"/>
      <c r="AA578" s="78"/>
      <c r="AB578" s="78"/>
    </row>
    <row r="579" spans="1:28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78"/>
      <c r="AA579" s="78"/>
      <c r="AB579" s="78"/>
    </row>
    <row r="580" spans="1:28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78"/>
      <c r="AA580" s="78"/>
      <c r="AB580" s="78"/>
    </row>
    <row r="581" spans="1:28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78"/>
      <c r="AA581" s="78"/>
      <c r="AB581" s="78"/>
    </row>
    <row r="582" spans="1:28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78"/>
      <c r="AA582" s="78"/>
      <c r="AB582" s="78"/>
    </row>
    <row r="583" spans="1:28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78"/>
      <c r="AA583" s="78"/>
      <c r="AB583" s="78"/>
    </row>
    <row r="584" spans="1:28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78"/>
      <c r="AA584" s="78"/>
      <c r="AB584" s="78"/>
    </row>
    <row r="585" spans="1:28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78"/>
      <c r="AA585" s="78"/>
      <c r="AB585" s="78"/>
    </row>
    <row r="586" spans="1:28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78"/>
      <c r="AA586" s="78"/>
      <c r="AB586" s="78"/>
    </row>
    <row r="587" spans="1:28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78"/>
      <c r="AA587" s="78"/>
      <c r="AB587" s="78"/>
    </row>
    <row r="588" spans="1:2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78"/>
      <c r="AA588" s="78"/>
      <c r="AB588" s="78"/>
    </row>
    <row r="589" spans="1:28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78"/>
      <c r="AA589" s="78"/>
      <c r="AB589" s="78"/>
    </row>
    <row r="590" spans="1:28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78"/>
      <c r="AA590" s="78"/>
      <c r="AB590" s="78"/>
    </row>
    <row r="591" spans="1:28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78"/>
      <c r="AA591" s="78"/>
      <c r="AB591" s="78"/>
    </row>
    <row r="592" spans="1:28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78"/>
      <c r="AA592" s="78"/>
      <c r="AB592" s="78"/>
    </row>
    <row r="593" spans="1:28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78"/>
      <c r="AA593" s="78"/>
      <c r="AB593" s="78"/>
    </row>
    <row r="594" spans="1:28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78"/>
      <c r="AA594" s="78"/>
      <c r="AB594" s="78"/>
    </row>
    <row r="595" spans="1:28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78"/>
      <c r="AA595" s="78"/>
      <c r="AB595" s="78"/>
    </row>
    <row r="596" spans="1:28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78"/>
      <c r="AA596" s="78"/>
      <c r="AB596" s="78"/>
    </row>
    <row r="597" spans="1:28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78"/>
      <c r="AA597" s="78"/>
      <c r="AB597" s="78"/>
    </row>
    <row r="598" spans="1:2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78"/>
      <c r="AA598" s="78"/>
      <c r="AB598" s="78"/>
    </row>
    <row r="599" spans="1:28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78"/>
      <c r="AA599" s="78"/>
      <c r="AB599" s="78"/>
    </row>
    <row r="600" spans="1:28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78"/>
      <c r="AA600" s="78"/>
      <c r="AB600" s="78"/>
    </row>
    <row r="601" spans="1:28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78"/>
      <c r="AA601" s="78"/>
      <c r="AB601" s="78"/>
    </row>
    <row r="602" spans="1:28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78"/>
      <c r="AA602" s="78"/>
      <c r="AB602" s="78"/>
    </row>
    <row r="603" spans="1:28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78"/>
      <c r="AA603" s="78"/>
      <c r="AB603" s="78"/>
    </row>
    <row r="604" spans="1:28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78"/>
      <c r="AA604" s="78"/>
      <c r="AB604" s="78"/>
    </row>
    <row r="605" spans="1:28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78"/>
      <c r="AA605" s="78"/>
      <c r="AB605" s="78"/>
    </row>
    <row r="606" spans="1:28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78"/>
      <c r="AA606" s="78"/>
      <c r="AB606" s="78"/>
    </row>
    <row r="607" spans="1:28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78"/>
      <c r="AA607" s="78"/>
      <c r="AB607" s="78"/>
    </row>
    <row r="608" spans="1:2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78"/>
      <c r="AA608" s="78"/>
      <c r="AB608" s="78"/>
    </row>
    <row r="609" spans="1:28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78"/>
      <c r="AA609" s="78"/>
      <c r="AB609" s="78"/>
    </row>
    <row r="610" spans="1:28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78"/>
      <c r="AA610" s="78"/>
      <c r="AB610" s="78"/>
    </row>
    <row r="611" spans="1:28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78"/>
      <c r="AA611" s="78"/>
      <c r="AB611" s="78"/>
    </row>
    <row r="612" spans="1:28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78"/>
      <c r="AA612" s="78"/>
      <c r="AB612" s="78"/>
    </row>
    <row r="613" spans="1:28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78"/>
      <c r="AA613" s="78"/>
      <c r="AB613" s="78"/>
    </row>
    <row r="614" spans="1:28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78"/>
      <c r="AA614" s="78"/>
      <c r="AB614" s="78"/>
    </row>
    <row r="615" spans="1:28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78"/>
      <c r="AA615" s="78"/>
      <c r="AB615" s="78"/>
    </row>
    <row r="616" spans="1:28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78"/>
      <c r="AA616" s="78"/>
      <c r="AB616" s="78"/>
    </row>
    <row r="617" spans="1:28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78"/>
      <c r="AA617" s="78"/>
      <c r="AB617" s="78"/>
    </row>
    <row r="618" spans="1:2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78"/>
      <c r="AA618" s="78"/>
      <c r="AB618" s="78"/>
    </row>
    <row r="619" spans="1:28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78"/>
      <c r="AA619" s="78"/>
      <c r="AB619" s="78"/>
    </row>
    <row r="620" spans="1:28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78"/>
      <c r="AA620" s="78"/>
      <c r="AB620" s="78"/>
    </row>
    <row r="621" spans="1:28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78"/>
      <c r="AA621" s="78"/>
      <c r="AB621" s="78"/>
    </row>
    <row r="622" spans="1:28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78"/>
      <c r="AA622" s="78"/>
      <c r="AB622" s="78"/>
    </row>
    <row r="623" spans="1:28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78"/>
      <c r="AA623" s="78"/>
      <c r="AB623" s="78"/>
    </row>
    <row r="624" spans="1:28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78"/>
      <c r="AA624" s="78"/>
      <c r="AB624" s="78"/>
    </row>
    <row r="625" spans="1:28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78"/>
      <c r="AA625" s="78"/>
      <c r="AB625" s="78"/>
    </row>
    <row r="626" spans="1:28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78"/>
      <c r="AA626" s="78"/>
      <c r="AB626" s="78"/>
    </row>
    <row r="627" spans="1:28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78"/>
      <c r="AA627" s="78"/>
      <c r="AB627" s="78"/>
    </row>
    <row r="628" spans="1: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78"/>
      <c r="AA628" s="78"/>
      <c r="AB628" s="78"/>
    </row>
    <row r="629" spans="1:28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78"/>
      <c r="AA629" s="78"/>
      <c r="AB629" s="78"/>
    </row>
    <row r="630" spans="1:28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78"/>
      <c r="AA630" s="78"/>
      <c r="AB630" s="78"/>
    </row>
    <row r="631" spans="1:28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78"/>
      <c r="AA631" s="78"/>
      <c r="AB631" s="78"/>
    </row>
    <row r="632" spans="1:28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78"/>
      <c r="AA632" s="78"/>
      <c r="AB632" s="78"/>
    </row>
    <row r="633" spans="1:28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78"/>
      <c r="AA633" s="78"/>
      <c r="AB633" s="78"/>
    </row>
    <row r="634" spans="1:28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78"/>
      <c r="AA634" s="78"/>
      <c r="AB634" s="78"/>
    </row>
    <row r="635" spans="1:28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78"/>
      <c r="AA635" s="78"/>
      <c r="AB635" s="78"/>
    </row>
    <row r="636" spans="1:28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78"/>
      <c r="AA636" s="78"/>
      <c r="AB636" s="78"/>
    </row>
    <row r="637" spans="1:28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78"/>
      <c r="AA637" s="78"/>
      <c r="AB637" s="78"/>
    </row>
    <row r="638" spans="1:2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78"/>
      <c r="AA638" s="78"/>
      <c r="AB638" s="78"/>
    </row>
    <row r="639" spans="1:28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78"/>
      <c r="AA639" s="78"/>
      <c r="AB639" s="78"/>
    </row>
    <row r="640" spans="1:28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78"/>
      <c r="AA640" s="78"/>
      <c r="AB640" s="78"/>
    </row>
    <row r="641" spans="1:28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78"/>
      <c r="AA641" s="78"/>
      <c r="AB641" s="78"/>
    </row>
    <row r="642" spans="1:28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78"/>
      <c r="AA642" s="78"/>
      <c r="AB642" s="78"/>
    </row>
    <row r="643" spans="1:28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78"/>
      <c r="AA643" s="78"/>
      <c r="AB643" s="78"/>
    </row>
    <row r="644" spans="1:28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78"/>
      <c r="AA644" s="78"/>
      <c r="AB644" s="78"/>
    </row>
    <row r="645" spans="1:28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78"/>
      <c r="AA645" s="78"/>
      <c r="AB645" s="78"/>
    </row>
    <row r="646" spans="1:28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78"/>
      <c r="AA646" s="78"/>
      <c r="AB646" s="78"/>
    </row>
    <row r="647" spans="1:28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78"/>
      <c r="AA647" s="78"/>
      <c r="AB647" s="78"/>
    </row>
    <row r="648" spans="1:2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78"/>
      <c r="AA648" s="78"/>
      <c r="AB648" s="78"/>
    </row>
    <row r="649" spans="1:28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78"/>
      <c r="AA649" s="78"/>
      <c r="AB649" s="78"/>
    </row>
    <row r="650" spans="1:28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78"/>
      <c r="AA650" s="78"/>
      <c r="AB650" s="78"/>
    </row>
    <row r="651" spans="1:28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78"/>
      <c r="AA651" s="78"/>
      <c r="AB651" s="78"/>
    </row>
    <row r="652" spans="1:28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78"/>
      <c r="AA652" s="78"/>
      <c r="AB652" s="78"/>
    </row>
    <row r="653" spans="1:28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78"/>
      <c r="AA653" s="78"/>
      <c r="AB653" s="78"/>
    </row>
    <row r="654" spans="1:28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78"/>
      <c r="AA654" s="78"/>
      <c r="AB654" s="78"/>
    </row>
    <row r="655" spans="1:28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78"/>
      <c r="AA655" s="78"/>
      <c r="AB655" s="78"/>
    </row>
    <row r="656" spans="1:28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78"/>
      <c r="AA656" s="78"/>
      <c r="AB656" s="78"/>
    </row>
    <row r="657" spans="1:28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78"/>
      <c r="AA657" s="78"/>
      <c r="AB657" s="78"/>
    </row>
    <row r="658" spans="1:2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78"/>
      <c r="AA658" s="78"/>
      <c r="AB658" s="78"/>
    </row>
    <row r="659" spans="1:28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78"/>
      <c r="AA659" s="78"/>
      <c r="AB659" s="78"/>
    </row>
    <row r="660" spans="1:28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78"/>
      <c r="AA660" s="78"/>
      <c r="AB660" s="78"/>
    </row>
    <row r="661" spans="1:28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78"/>
      <c r="AA661" s="78"/>
      <c r="AB661" s="78"/>
    </row>
    <row r="662" spans="1:28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78"/>
      <c r="AA662" s="78"/>
      <c r="AB662" s="78"/>
    </row>
    <row r="663" spans="1:28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78"/>
      <c r="AA663" s="78"/>
      <c r="AB663" s="78"/>
    </row>
    <row r="664" spans="1:28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78"/>
      <c r="AA664" s="78"/>
      <c r="AB664" s="78"/>
    </row>
    <row r="665" spans="1:28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78"/>
      <c r="AA665" s="78"/>
      <c r="AB665" s="78"/>
    </row>
    <row r="666" spans="1:28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78"/>
      <c r="AA666" s="78"/>
      <c r="AB666" s="78"/>
    </row>
    <row r="667" spans="1:28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78"/>
      <c r="AA667" s="78"/>
      <c r="AB667" s="78"/>
    </row>
    <row r="668" spans="1:2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78"/>
      <c r="AA668" s="78"/>
      <c r="AB668" s="78"/>
    </row>
    <row r="669" spans="1:28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78"/>
      <c r="AA669" s="78"/>
      <c r="AB669" s="78"/>
    </row>
    <row r="670" spans="1:28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78"/>
      <c r="AA670" s="78"/>
      <c r="AB670" s="78"/>
    </row>
    <row r="671" spans="1:28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78"/>
      <c r="AA671" s="78"/>
      <c r="AB671" s="78"/>
    </row>
    <row r="672" spans="1:28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78"/>
      <c r="AA672" s="78"/>
      <c r="AB672" s="78"/>
    </row>
    <row r="673" spans="1:28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78"/>
      <c r="AA673" s="78"/>
      <c r="AB673" s="78"/>
    </row>
    <row r="674" spans="1:28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78"/>
      <c r="AA674" s="78"/>
      <c r="AB674" s="78"/>
    </row>
    <row r="675" spans="1:28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78"/>
      <c r="AA675" s="78"/>
      <c r="AB675" s="78"/>
    </row>
    <row r="676" spans="1:28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78"/>
      <c r="AA676" s="78"/>
      <c r="AB676" s="78"/>
    </row>
    <row r="677" spans="1:28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78"/>
      <c r="AA677" s="78"/>
      <c r="AB677" s="78"/>
    </row>
    <row r="678" spans="1:2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78"/>
      <c r="AA678" s="78"/>
      <c r="AB678" s="78"/>
    </row>
    <row r="679" spans="1:28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78"/>
      <c r="AA679" s="78"/>
      <c r="AB679" s="78"/>
    </row>
    <row r="680" spans="1:28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78"/>
      <c r="AA680" s="78"/>
      <c r="AB680" s="78"/>
    </row>
    <row r="681" spans="1:28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78"/>
      <c r="AA681" s="78"/>
      <c r="AB681" s="78"/>
    </row>
    <row r="682" spans="1:28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78"/>
      <c r="AA682" s="78"/>
      <c r="AB682" s="78"/>
    </row>
    <row r="683" spans="1:28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78"/>
      <c r="AA683" s="78"/>
      <c r="AB683" s="78"/>
    </row>
    <row r="684" spans="1:28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78"/>
      <c r="AA684" s="78"/>
      <c r="AB684" s="78"/>
    </row>
    <row r="685" spans="1:28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78"/>
      <c r="AA685" s="78"/>
      <c r="AB685" s="78"/>
    </row>
    <row r="686" spans="1:28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78"/>
      <c r="AA686" s="78"/>
      <c r="AB686" s="78"/>
    </row>
    <row r="687" spans="1:28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78"/>
      <c r="AA687" s="78"/>
      <c r="AB687" s="78"/>
    </row>
    <row r="688" spans="1:2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78"/>
      <c r="AA688" s="78"/>
      <c r="AB688" s="78"/>
    </row>
    <row r="689" spans="1:28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78"/>
      <c r="AA689" s="78"/>
      <c r="AB689" s="78"/>
    </row>
    <row r="690" spans="1:28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78"/>
      <c r="AA690" s="78"/>
      <c r="AB690" s="78"/>
    </row>
    <row r="691" spans="1:28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78"/>
      <c r="AA691" s="78"/>
      <c r="AB691" s="78"/>
    </row>
    <row r="692" spans="1:28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78"/>
      <c r="AA692" s="78"/>
      <c r="AB692" s="78"/>
    </row>
    <row r="693" spans="1:28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78"/>
      <c r="AA693" s="78"/>
      <c r="AB693" s="78"/>
    </row>
    <row r="694" spans="1:28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78"/>
      <c r="AA694" s="78"/>
      <c r="AB694" s="78"/>
    </row>
    <row r="695" spans="1:28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78"/>
      <c r="AA695" s="78"/>
      <c r="AB695" s="78"/>
    </row>
    <row r="696" spans="1:28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78"/>
      <c r="AA696" s="78"/>
      <c r="AB696" s="78"/>
    </row>
    <row r="697" spans="1:28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78"/>
      <c r="AA697" s="78"/>
      <c r="AB697" s="78"/>
    </row>
    <row r="698" spans="1:2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78"/>
      <c r="AA698" s="78"/>
      <c r="AB698" s="78"/>
    </row>
    <row r="699" spans="1:28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78"/>
      <c r="AA699" s="78"/>
      <c r="AB699" s="78"/>
    </row>
    <row r="700" spans="1:28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78"/>
      <c r="AA700" s="78"/>
      <c r="AB700" s="78"/>
    </row>
    <row r="701" spans="1:28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78"/>
      <c r="AA701" s="78"/>
      <c r="AB701" s="78"/>
    </row>
    <row r="702" spans="1:28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78"/>
      <c r="AA702" s="78"/>
      <c r="AB702" s="78"/>
    </row>
    <row r="703" spans="1:28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78"/>
      <c r="AA703" s="78"/>
      <c r="AB703" s="78"/>
    </row>
    <row r="704" spans="1:28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78"/>
      <c r="AA704" s="78"/>
      <c r="AB704" s="78"/>
    </row>
    <row r="705" spans="1:28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78"/>
      <c r="AA705" s="78"/>
      <c r="AB705" s="78"/>
    </row>
    <row r="706" spans="1:28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78"/>
      <c r="AA706" s="78"/>
      <c r="AB706" s="78"/>
    </row>
    <row r="707" spans="1:28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78"/>
      <c r="AA707" s="78"/>
      <c r="AB707" s="78"/>
    </row>
    <row r="708" spans="1:2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78"/>
      <c r="AA708" s="78"/>
      <c r="AB708" s="78"/>
    </row>
    <row r="709" spans="1:28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78"/>
      <c r="AA709" s="78"/>
      <c r="AB709" s="78"/>
    </row>
    <row r="710" spans="1:28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78"/>
      <c r="AA710" s="78"/>
      <c r="AB710" s="78"/>
    </row>
    <row r="711" spans="1:28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78"/>
      <c r="AA711" s="78"/>
      <c r="AB711" s="78"/>
    </row>
    <row r="712" spans="1:28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78"/>
      <c r="AA712" s="78"/>
      <c r="AB712" s="78"/>
    </row>
    <row r="713" spans="1:28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78"/>
      <c r="AA713" s="78"/>
      <c r="AB713" s="78"/>
    </row>
    <row r="714" spans="1:28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78"/>
      <c r="AA714" s="78"/>
      <c r="AB714" s="78"/>
    </row>
    <row r="715" spans="1:28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78"/>
      <c r="AA715" s="78"/>
      <c r="AB715" s="78"/>
    </row>
    <row r="716" spans="1:28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78"/>
      <c r="AA716" s="78"/>
      <c r="AB716" s="78"/>
    </row>
    <row r="717" spans="1:28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78"/>
      <c r="AA717" s="78"/>
      <c r="AB717" s="78"/>
    </row>
    <row r="718" spans="1:2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78"/>
      <c r="AA718" s="78"/>
      <c r="AB718" s="78"/>
    </row>
    <row r="719" spans="1:28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78"/>
      <c r="AA719" s="78"/>
      <c r="AB719" s="78"/>
    </row>
    <row r="720" spans="1:28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78"/>
      <c r="AA720" s="78"/>
      <c r="AB720" s="78"/>
    </row>
    <row r="721" spans="1:28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78"/>
      <c r="AA721" s="78"/>
      <c r="AB721" s="78"/>
    </row>
    <row r="722" spans="1:28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78"/>
      <c r="AA722" s="78"/>
      <c r="AB722" s="78"/>
    </row>
    <row r="723" spans="1:28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78"/>
      <c r="AA723" s="78"/>
      <c r="AB723" s="78"/>
    </row>
    <row r="724" spans="1:28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78"/>
      <c r="AA724" s="78"/>
      <c r="AB724" s="78"/>
    </row>
    <row r="725" spans="1:28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78"/>
      <c r="AA725" s="78"/>
      <c r="AB725" s="78"/>
    </row>
    <row r="726" spans="1:28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78"/>
      <c r="AA726" s="78"/>
      <c r="AB726" s="78"/>
    </row>
    <row r="727" spans="1:28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78"/>
      <c r="AA727" s="78"/>
      <c r="AB727" s="78"/>
    </row>
    <row r="728" spans="1: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78"/>
      <c r="AA728" s="78"/>
      <c r="AB728" s="78"/>
    </row>
    <row r="729" spans="1:28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78"/>
      <c r="AA729" s="78"/>
      <c r="AB729" s="78"/>
    </row>
    <row r="730" spans="1:28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78"/>
      <c r="AA730" s="78"/>
      <c r="AB730" s="78"/>
    </row>
    <row r="731" spans="1:28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78"/>
      <c r="AA731" s="78"/>
      <c r="AB731" s="78"/>
    </row>
    <row r="732" spans="1:28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78"/>
      <c r="AA732" s="78"/>
      <c r="AB732" s="78"/>
    </row>
    <row r="733" spans="1:28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78"/>
      <c r="AA733" s="78"/>
      <c r="AB733" s="78"/>
    </row>
    <row r="734" spans="1:28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78"/>
      <c r="AA734" s="78"/>
      <c r="AB734" s="78"/>
    </row>
    <row r="735" spans="1:28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78"/>
      <c r="AA735" s="78"/>
      <c r="AB735" s="78"/>
    </row>
    <row r="736" spans="1:28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78"/>
      <c r="AA736" s="78"/>
      <c r="AB736" s="78"/>
    </row>
    <row r="737" spans="1:28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78"/>
      <c r="AA737" s="78"/>
      <c r="AB737" s="78"/>
    </row>
    <row r="738" spans="1:2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78"/>
      <c r="AA738" s="78"/>
      <c r="AB738" s="78"/>
    </row>
    <row r="739" spans="1:28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78"/>
      <c r="AA739" s="78"/>
      <c r="AB739" s="78"/>
    </row>
    <row r="740" spans="1:28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78"/>
      <c r="AA740" s="78"/>
      <c r="AB740" s="78"/>
    </row>
    <row r="741" spans="1:28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78"/>
      <c r="AA741" s="78"/>
      <c r="AB741" s="78"/>
    </row>
    <row r="742" spans="1:28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78"/>
      <c r="AA742" s="78"/>
      <c r="AB742" s="78"/>
    </row>
    <row r="743" spans="1:28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78"/>
      <c r="AA743" s="78"/>
      <c r="AB743" s="78"/>
    </row>
    <row r="744" spans="1:28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78"/>
      <c r="AA744" s="78"/>
      <c r="AB744" s="78"/>
    </row>
    <row r="745" spans="1:28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78"/>
      <c r="AA745" s="78"/>
      <c r="AB745" s="78"/>
    </row>
    <row r="746" spans="1:28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78"/>
      <c r="AA746" s="78"/>
      <c r="AB746" s="78"/>
    </row>
    <row r="747" spans="1:28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78"/>
      <c r="AA747" s="78"/>
      <c r="AB747" s="78"/>
    </row>
    <row r="748" spans="1:2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78"/>
      <c r="AA748" s="78"/>
      <c r="AB748" s="78"/>
    </row>
    <row r="749" spans="1:28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78"/>
      <c r="AA749" s="78"/>
      <c r="AB749" s="78"/>
    </row>
    <row r="750" spans="1:28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78"/>
      <c r="AA750" s="78"/>
      <c r="AB750" s="78"/>
    </row>
    <row r="751" spans="1:28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78"/>
      <c r="AA751" s="78"/>
      <c r="AB751" s="78"/>
    </row>
    <row r="752" spans="1:28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78"/>
      <c r="AA752" s="78"/>
      <c r="AB752" s="78"/>
    </row>
    <row r="753" spans="1:28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78"/>
      <c r="AA753" s="78"/>
      <c r="AB753" s="78"/>
    </row>
    <row r="754" spans="1:28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78"/>
      <c r="AA754" s="78"/>
      <c r="AB754" s="78"/>
    </row>
    <row r="755" spans="1:28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78"/>
      <c r="AA755" s="78"/>
      <c r="AB755" s="78"/>
    </row>
    <row r="756" spans="1:28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78"/>
      <c r="AA756" s="78"/>
      <c r="AB756" s="78"/>
    </row>
    <row r="757" spans="1:28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78"/>
      <c r="AA757" s="78"/>
      <c r="AB757" s="78"/>
    </row>
    <row r="758" spans="1:2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78"/>
      <c r="AA758" s="78"/>
      <c r="AB758" s="78"/>
    </row>
    <row r="759" spans="1:28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78"/>
      <c r="AA759" s="78"/>
      <c r="AB759" s="78"/>
    </row>
    <row r="760" spans="1:28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78"/>
      <c r="AA760" s="78"/>
      <c r="AB760" s="78"/>
    </row>
    <row r="761" spans="1:28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78"/>
      <c r="AA761" s="78"/>
      <c r="AB761" s="78"/>
    </row>
    <row r="762" spans="1:28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78"/>
      <c r="AA762" s="78"/>
      <c r="AB762" s="78"/>
    </row>
    <row r="763" spans="1:28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78"/>
      <c r="AA763" s="78"/>
      <c r="AB763" s="78"/>
    </row>
    <row r="764" spans="1:28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78"/>
      <c r="AA764" s="78"/>
      <c r="AB764" s="78"/>
    </row>
    <row r="765" spans="1:28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78"/>
      <c r="AA765" s="78"/>
      <c r="AB765" s="78"/>
    </row>
    <row r="766" spans="1:28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78"/>
      <c r="AA766" s="78"/>
      <c r="AB766" s="78"/>
    </row>
    <row r="767" spans="1:28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78"/>
      <c r="AA767" s="78"/>
      <c r="AB767" s="78"/>
    </row>
    <row r="768" spans="1:2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78"/>
      <c r="AA768" s="78"/>
      <c r="AB768" s="78"/>
    </row>
    <row r="769" spans="1:28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78"/>
      <c r="AA769" s="78"/>
      <c r="AB769" s="78"/>
    </row>
    <row r="770" spans="1:28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78"/>
      <c r="AA770" s="78"/>
      <c r="AB770" s="78"/>
    </row>
    <row r="771" spans="1:28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78"/>
      <c r="AA771" s="78"/>
      <c r="AB771" s="78"/>
    </row>
    <row r="772" spans="1:28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78"/>
      <c r="AA772" s="78"/>
      <c r="AB772" s="78"/>
    </row>
    <row r="773" spans="1:28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78"/>
      <c r="AA773" s="78"/>
      <c r="AB773" s="78"/>
    </row>
    <row r="774" spans="1:28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78"/>
      <c r="AA774" s="78"/>
      <c r="AB774" s="78"/>
    </row>
    <row r="775" spans="1:28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78"/>
      <c r="AA775" s="78"/>
      <c r="AB775" s="78"/>
    </row>
    <row r="776" spans="1:28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78"/>
      <c r="AA776" s="78"/>
      <c r="AB776" s="78"/>
    </row>
    <row r="777" spans="1:28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78"/>
      <c r="AA777" s="78"/>
      <c r="AB777" s="78"/>
    </row>
    <row r="778" spans="1:2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78"/>
      <c r="AA778" s="78"/>
      <c r="AB778" s="78"/>
    </row>
    <row r="779" spans="1:28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78"/>
      <c r="AA779" s="78"/>
      <c r="AB779" s="78"/>
    </row>
    <row r="780" spans="1:28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78"/>
      <c r="AA780" s="78"/>
      <c r="AB780" s="78"/>
    </row>
    <row r="781" spans="1:28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78"/>
      <c r="AA781" s="78"/>
      <c r="AB781" s="78"/>
    </row>
    <row r="782" spans="1:28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78"/>
      <c r="AA782" s="78"/>
      <c r="AB782" s="78"/>
    </row>
    <row r="783" spans="1:28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78"/>
      <c r="AA783" s="78"/>
      <c r="AB783" s="78"/>
    </row>
    <row r="784" spans="1:28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78"/>
      <c r="AA784" s="78"/>
      <c r="AB784" s="78"/>
    </row>
    <row r="785" spans="1:28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78"/>
      <c r="AA785" s="78"/>
      <c r="AB785" s="78"/>
    </row>
    <row r="786" spans="1:28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78"/>
      <c r="AA786" s="78"/>
      <c r="AB786" s="78"/>
    </row>
    <row r="787" spans="1:28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78"/>
      <c r="AA787" s="78"/>
      <c r="AB787" s="78"/>
    </row>
    <row r="788" spans="1:2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78"/>
      <c r="AA788" s="78"/>
      <c r="AB788" s="78"/>
    </row>
    <row r="789" spans="1:28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78"/>
      <c r="AA789" s="78"/>
      <c r="AB789" s="78"/>
    </row>
    <row r="790" spans="1:28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78"/>
      <c r="AA790" s="78"/>
      <c r="AB790" s="78"/>
    </row>
    <row r="791" spans="1:28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78"/>
      <c r="AA791" s="78"/>
      <c r="AB791" s="78"/>
    </row>
    <row r="792" spans="1:28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78"/>
      <c r="AA792" s="78"/>
      <c r="AB792" s="78"/>
    </row>
    <row r="793" spans="1:28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78"/>
      <c r="AA793" s="78"/>
      <c r="AB793" s="78"/>
    </row>
    <row r="794" spans="1:28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78"/>
      <c r="AA794" s="78"/>
      <c r="AB794" s="78"/>
    </row>
    <row r="795" spans="1:28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78"/>
      <c r="AA795" s="78"/>
      <c r="AB795" s="78"/>
    </row>
    <row r="796" spans="1:28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78"/>
      <c r="AA796" s="78"/>
      <c r="AB796" s="78"/>
    </row>
    <row r="797" spans="1:28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78"/>
      <c r="AA797" s="78"/>
      <c r="AB797" s="78"/>
    </row>
    <row r="798" spans="1:2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78"/>
      <c r="AA798" s="78"/>
      <c r="AB798" s="78"/>
    </row>
    <row r="799" spans="1:28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78"/>
      <c r="AA799" s="78"/>
      <c r="AB799" s="78"/>
    </row>
    <row r="800" spans="1:28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78"/>
      <c r="AA800" s="78"/>
      <c r="AB800" s="78"/>
    </row>
    <row r="801" spans="1:28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78"/>
      <c r="AA801" s="78"/>
      <c r="AB801" s="78"/>
    </row>
    <row r="802" spans="1:28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78"/>
      <c r="AA802" s="78"/>
      <c r="AB802" s="78"/>
    </row>
    <row r="803" spans="1:28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78"/>
      <c r="AA803" s="78"/>
      <c r="AB803" s="78"/>
    </row>
    <row r="804" spans="1:28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78"/>
      <c r="AA804" s="78"/>
      <c r="AB804" s="78"/>
    </row>
    <row r="805" spans="1:28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78"/>
      <c r="AA805" s="78"/>
      <c r="AB805" s="78"/>
    </row>
    <row r="806" spans="1:28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78"/>
      <c r="AA806" s="78"/>
      <c r="AB806" s="78"/>
    </row>
    <row r="807" spans="1:28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78"/>
      <c r="AA807" s="78"/>
      <c r="AB807" s="78"/>
    </row>
    <row r="808" spans="1:2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78"/>
      <c r="AA808" s="78"/>
      <c r="AB808" s="78"/>
    </row>
    <row r="809" spans="1:28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78"/>
      <c r="AA809" s="78"/>
      <c r="AB809" s="78"/>
    </row>
    <row r="810" spans="1:28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78"/>
      <c r="AA810" s="78"/>
      <c r="AB810" s="78"/>
    </row>
    <row r="811" spans="1:28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78"/>
      <c r="AA811" s="78"/>
      <c r="AB811" s="78"/>
    </row>
    <row r="812" spans="1:28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78"/>
      <c r="AA812" s="78"/>
      <c r="AB812" s="78"/>
    </row>
    <row r="813" spans="1:28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78"/>
      <c r="AA813" s="78"/>
      <c r="AB813" s="78"/>
    </row>
    <row r="814" spans="1:28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78"/>
      <c r="AA814" s="78"/>
      <c r="AB814" s="78"/>
    </row>
    <row r="815" spans="1:28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78"/>
      <c r="AA815" s="78"/>
      <c r="AB815" s="78"/>
    </row>
    <row r="816" spans="1:28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78"/>
      <c r="AA816" s="78"/>
      <c r="AB816" s="78"/>
    </row>
    <row r="817" spans="1:28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78"/>
      <c r="AA817" s="78"/>
      <c r="AB817" s="78"/>
    </row>
    <row r="818" spans="1:2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78"/>
      <c r="AA818" s="78"/>
      <c r="AB818" s="78"/>
    </row>
    <row r="819" spans="1:28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78"/>
      <c r="AA819" s="78"/>
      <c r="AB819" s="78"/>
    </row>
    <row r="820" spans="1:28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78"/>
      <c r="AA820" s="78"/>
      <c r="AB820" s="78"/>
    </row>
    <row r="821" spans="1:28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78"/>
      <c r="AA821" s="78"/>
      <c r="AB821" s="78"/>
    </row>
    <row r="822" spans="1:28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78"/>
      <c r="AA822" s="78"/>
      <c r="AB822" s="78"/>
    </row>
    <row r="823" spans="1:28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78"/>
      <c r="AA823" s="78"/>
      <c r="AB823" s="78"/>
    </row>
    <row r="824" spans="1:28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78"/>
      <c r="AA824" s="78"/>
      <c r="AB824" s="78"/>
    </row>
    <row r="825" spans="1:28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78"/>
      <c r="AA825" s="78"/>
      <c r="AB825" s="78"/>
    </row>
    <row r="826" spans="1:28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78"/>
      <c r="AA826" s="78"/>
      <c r="AB826" s="78"/>
    </row>
    <row r="827" spans="1:28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78"/>
      <c r="AA827" s="78"/>
      <c r="AB827" s="78"/>
    </row>
    <row r="828" spans="1: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78"/>
      <c r="AA828" s="78"/>
      <c r="AB828" s="78"/>
    </row>
    <row r="829" spans="1:28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78"/>
      <c r="AA829" s="78"/>
      <c r="AB829" s="78"/>
    </row>
    <row r="830" spans="1:28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78"/>
      <c r="AA830" s="78"/>
      <c r="AB830" s="78"/>
    </row>
    <row r="831" spans="1:28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78"/>
      <c r="AA831" s="78"/>
      <c r="AB831" s="78"/>
    </row>
    <row r="832" spans="1:28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78"/>
      <c r="AA832" s="78"/>
      <c r="AB832" s="78"/>
    </row>
    <row r="833" spans="1:28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78"/>
      <c r="AA833" s="78"/>
      <c r="AB833" s="78"/>
    </row>
    <row r="834" spans="1:28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78"/>
      <c r="AA834" s="78"/>
      <c r="AB834" s="78"/>
    </row>
    <row r="835" spans="1:28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78"/>
      <c r="AA835" s="78"/>
      <c r="AB835" s="78"/>
    </row>
    <row r="836" spans="1:28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78"/>
      <c r="AA836" s="78"/>
      <c r="AB836" s="78"/>
    </row>
    <row r="837" spans="1:28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78"/>
      <c r="AA837" s="78"/>
      <c r="AB837" s="78"/>
    </row>
    <row r="838" spans="1:2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78"/>
      <c r="AA838" s="78"/>
      <c r="AB838" s="78"/>
    </row>
    <row r="839" spans="1:28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78"/>
      <c r="AA839" s="78"/>
      <c r="AB839" s="78"/>
    </row>
    <row r="840" spans="1:28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78"/>
      <c r="AA840" s="78"/>
      <c r="AB840" s="78"/>
    </row>
    <row r="841" spans="1:28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78"/>
      <c r="AA841" s="78"/>
      <c r="AB841" s="78"/>
    </row>
    <row r="842" spans="1:28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78"/>
      <c r="AA842" s="78"/>
      <c r="AB842" s="78"/>
    </row>
    <row r="843" spans="1:28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78"/>
      <c r="AA843" s="78"/>
      <c r="AB843" s="78"/>
    </row>
    <row r="844" spans="1:28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78"/>
      <c r="AA844" s="78"/>
      <c r="AB844" s="78"/>
    </row>
    <row r="845" spans="1:28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78"/>
      <c r="AA845" s="78"/>
      <c r="AB845" s="78"/>
    </row>
    <row r="846" spans="1:28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78"/>
      <c r="AA846" s="78"/>
      <c r="AB846" s="78"/>
    </row>
    <row r="847" spans="1:28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78"/>
      <c r="AA847" s="78"/>
      <c r="AB847" s="78"/>
    </row>
    <row r="848" spans="1:2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78"/>
      <c r="AA848" s="78"/>
      <c r="AB848" s="78"/>
    </row>
    <row r="849" spans="1:28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78"/>
      <c r="AA849" s="78"/>
      <c r="AB849" s="78"/>
    </row>
    <row r="850" spans="1:28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78"/>
      <c r="AA850" s="78"/>
      <c r="AB850" s="78"/>
    </row>
    <row r="851" spans="1:28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78"/>
      <c r="AA851" s="78"/>
      <c r="AB851" s="78"/>
    </row>
    <row r="852" spans="1:28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78"/>
      <c r="AA852" s="78"/>
      <c r="AB852" s="78"/>
    </row>
    <row r="853" spans="1:28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78"/>
      <c r="AA853" s="78"/>
      <c r="AB853" s="78"/>
    </row>
    <row r="854" spans="1:28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78"/>
      <c r="AA854" s="78"/>
      <c r="AB854" s="78"/>
    </row>
    <row r="855" spans="1:28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78"/>
      <c r="AA855" s="78"/>
      <c r="AB855" s="78"/>
    </row>
    <row r="856" spans="1:28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78"/>
      <c r="AA856" s="78"/>
      <c r="AB856" s="78"/>
    </row>
    <row r="857" spans="1:28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78"/>
      <c r="AA857" s="78"/>
      <c r="AB857" s="78"/>
    </row>
    <row r="858" spans="1:2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78"/>
      <c r="AA858" s="78"/>
      <c r="AB858" s="78"/>
    </row>
    <row r="859" spans="1:28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78"/>
      <c r="AA859" s="78"/>
      <c r="AB859" s="78"/>
    </row>
    <row r="860" spans="1:28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78"/>
      <c r="AA860" s="78"/>
      <c r="AB860" s="78"/>
    </row>
    <row r="861" spans="1:28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78"/>
      <c r="AA861" s="78"/>
      <c r="AB861" s="78"/>
    </row>
    <row r="862" spans="1:28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78"/>
      <c r="AA862" s="78"/>
      <c r="AB862" s="78"/>
    </row>
    <row r="863" spans="1:28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78"/>
      <c r="AA863" s="78"/>
      <c r="AB863" s="78"/>
    </row>
    <row r="864" spans="1:28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78"/>
      <c r="AA864" s="78"/>
      <c r="AB864" s="78"/>
    </row>
    <row r="865" spans="1:28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78"/>
      <c r="AA865" s="78"/>
      <c r="AB865" s="78"/>
    </row>
    <row r="866" spans="1:28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78"/>
      <c r="AA866" s="78"/>
      <c r="AB866" s="78"/>
    </row>
    <row r="867" spans="1:28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78"/>
      <c r="AA867" s="78"/>
      <c r="AB867" s="78"/>
    </row>
    <row r="868" spans="1:2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78"/>
      <c r="AA868" s="78"/>
      <c r="AB868" s="78"/>
    </row>
    <row r="869" spans="1:28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78"/>
      <c r="AA869" s="78"/>
      <c r="AB869" s="78"/>
    </row>
    <row r="870" spans="1:28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78"/>
      <c r="AA870" s="78"/>
      <c r="AB870" s="78"/>
    </row>
    <row r="871" spans="1:28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78"/>
      <c r="AA871" s="78"/>
      <c r="AB871" s="78"/>
    </row>
    <row r="872" spans="1:28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78"/>
      <c r="AA872" s="78"/>
      <c r="AB872" s="78"/>
    </row>
    <row r="873" spans="1:28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78"/>
      <c r="AA873" s="78"/>
      <c r="AB873" s="78"/>
    </row>
    <row r="874" spans="1:28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78"/>
      <c r="AA874" s="78"/>
      <c r="AB874" s="78"/>
    </row>
    <row r="875" spans="1:28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78"/>
      <c r="AA875" s="78"/>
      <c r="AB875" s="78"/>
    </row>
    <row r="876" spans="1:28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78"/>
      <c r="AA876" s="78"/>
      <c r="AB876" s="78"/>
    </row>
    <row r="877" spans="1:28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78"/>
      <c r="AA877" s="78"/>
      <c r="AB877" s="78"/>
    </row>
    <row r="878" spans="1:2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78"/>
      <c r="AA878" s="78"/>
      <c r="AB878" s="78"/>
    </row>
    <row r="879" spans="1:28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78"/>
      <c r="AA879" s="78"/>
      <c r="AB879" s="78"/>
    </row>
    <row r="880" spans="1:28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78"/>
      <c r="AA880" s="78"/>
      <c r="AB880" s="78"/>
    </row>
    <row r="881" spans="1:28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78"/>
      <c r="AA881" s="78"/>
      <c r="AB881" s="78"/>
    </row>
    <row r="882" spans="1:28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78"/>
      <c r="AA882" s="78"/>
      <c r="AB882" s="78"/>
    </row>
    <row r="883" spans="1:28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78"/>
      <c r="AA883" s="78"/>
      <c r="AB883" s="78"/>
    </row>
    <row r="884" spans="1:28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78"/>
      <c r="AA884" s="78"/>
      <c r="AB884" s="78"/>
    </row>
    <row r="885" spans="1:28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78"/>
      <c r="AA885" s="78"/>
      <c r="AB885" s="78"/>
    </row>
    <row r="886" spans="1:28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78"/>
      <c r="AA886" s="78"/>
      <c r="AB886" s="78"/>
    </row>
    <row r="887" spans="1:28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78"/>
      <c r="AA887" s="78"/>
      <c r="AB887" s="78"/>
    </row>
    <row r="888" spans="1:2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78"/>
      <c r="AA888" s="78"/>
      <c r="AB888" s="78"/>
    </row>
    <row r="889" spans="1:28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78"/>
      <c r="AA889" s="78"/>
      <c r="AB889" s="78"/>
    </row>
    <row r="890" spans="1:28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78"/>
      <c r="AA890" s="78"/>
      <c r="AB890" s="78"/>
    </row>
    <row r="891" spans="1:28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78"/>
      <c r="AA891" s="78"/>
      <c r="AB891" s="78"/>
    </row>
    <row r="892" spans="1:28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78"/>
      <c r="AA892" s="78"/>
      <c r="AB892" s="78"/>
    </row>
    <row r="893" spans="1:28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78"/>
      <c r="AA893" s="78"/>
      <c r="AB893" s="78"/>
    </row>
    <row r="894" spans="1:28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78"/>
      <c r="AA894" s="78"/>
      <c r="AB894" s="78"/>
    </row>
    <row r="895" spans="1:28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78"/>
      <c r="AA895" s="78"/>
      <c r="AB895" s="78"/>
    </row>
    <row r="896" spans="1:28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78"/>
      <c r="AA896" s="78"/>
      <c r="AB896" s="78"/>
    </row>
    <row r="897" spans="1:28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78"/>
      <c r="AA897" s="78"/>
      <c r="AB897" s="78"/>
    </row>
    <row r="898" spans="1:2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78"/>
      <c r="AA898" s="78"/>
      <c r="AB898" s="78"/>
    </row>
    <row r="899" spans="1:28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78"/>
      <c r="AA899" s="78"/>
      <c r="AB899" s="78"/>
    </row>
    <row r="900" spans="1:28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78"/>
      <c r="AA900" s="78"/>
      <c r="AB900" s="78"/>
    </row>
    <row r="901" spans="1:28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78"/>
      <c r="AA901" s="78"/>
      <c r="AB901" s="78"/>
    </row>
    <row r="902" spans="1:28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78"/>
      <c r="AA902" s="78"/>
      <c r="AB902" s="78"/>
    </row>
    <row r="903" spans="1:28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78"/>
      <c r="AA903" s="78"/>
      <c r="AB903" s="78"/>
    </row>
    <row r="904" spans="1:28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78"/>
      <c r="AA904" s="78"/>
      <c r="AB904" s="78"/>
    </row>
    <row r="905" spans="1:28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78"/>
      <c r="AA905" s="78"/>
      <c r="AB905" s="78"/>
    </row>
    <row r="906" spans="1:28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78"/>
      <c r="AA906" s="78"/>
      <c r="AB906" s="78"/>
    </row>
    <row r="907" spans="1:28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78"/>
      <c r="AA907" s="78"/>
      <c r="AB907" s="78"/>
    </row>
    <row r="908" spans="1:2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78"/>
      <c r="AA908" s="78"/>
      <c r="AB908" s="78"/>
    </row>
    <row r="909" spans="1:28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78"/>
      <c r="AA909" s="78"/>
      <c r="AB909" s="78"/>
    </row>
    <row r="910" spans="1:28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78"/>
      <c r="AA910" s="78"/>
      <c r="AB910" s="78"/>
    </row>
    <row r="911" spans="1:28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78"/>
      <c r="AA911" s="78"/>
      <c r="AB911" s="78"/>
    </row>
    <row r="912" spans="1:28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78"/>
      <c r="AA912" s="78"/>
      <c r="AB912" s="78"/>
    </row>
    <row r="913" spans="1:28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78"/>
      <c r="AA913" s="78"/>
      <c r="AB913" s="78"/>
    </row>
    <row r="914" spans="1:28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78"/>
      <c r="AA914" s="78"/>
      <c r="AB914" s="78"/>
    </row>
    <row r="915" spans="1:28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78"/>
      <c r="AA915" s="78"/>
      <c r="AB915" s="78"/>
    </row>
    <row r="916" spans="1:28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78"/>
      <c r="AA916" s="78"/>
      <c r="AB916" s="78"/>
    </row>
    <row r="917" spans="1:28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78"/>
      <c r="AA917" s="78"/>
      <c r="AB917" s="78"/>
    </row>
    <row r="918" spans="1:2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78"/>
      <c r="AA918" s="78"/>
      <c r="AB918" s="78"/>
    </row>
    <row r="919" spans="1:28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78"/>
      <c r="AA919" s="78"/>
      <c r="AB919" s="78"/>
    </row>
    <row r="920" spans="1:28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78"/>
      <c r="AA920" s="78"/>
      <c r="AB920" s="78"/>
    </row>
    <row r="921" spans="1:28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78"/>
      <c r="AA921" s="78"/>
      <c r="AB921" s="78"/>
    </row>
    <row r="922" spans="1:28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78"/>
      <c r="AA922" s="78"/>
      <c r="AB922" s="78"/>
    </row>
    <row r="923" spans="1:28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78"/>
      <c r="AA923" s="78"/>
      <c r="AB923" s="78"/>
    </row>
    <row r="924" spans="1:28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78"/>
      <c r="AA924" s="78"/>
      <c r="AB924" s="78"/>
    </row>
    <row r="925" spans="1:28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78"/>
      <c r="AA925" s="78"/>
      <c r="AB925" s="78"/>
    </row>
    <row r="926" spans="1:28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78"/>
      <c r="AA926" s="78"/>
      <c r="AB926" s="78"/>
    </row>
    <row r="927" spans="1:28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78"/>
      <c r="AA927" s="78"/>
      <c r="AB927" s="78"/>
    </row>
    <row r="928" spans="1: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78"/>
      <c r="AA928" s="78"/>
      <c r="AB928" s="78"/>
    </row>
    <row r="929" spans="1:28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78"/>
      <c r="AA929" s="78"/>
      <c r="AB929" s="78"/>
    </row>
    <row r="930" spans="1:28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78"/>
      <c r="AA930" s="78"/>
      <c r="AB930" s="78"/>
    </row>
    <row r="931" spans="1:28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78"/>
      <c r="AA931" s="78"/>
      <c r="AB931" s="78"/>
    </row>
    <row r="932" spans="1:28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78"/>
      <c r="AA932" s="78"/>
      <c r="AB932" s="78"/>
    </row>
    <row r="933" spans="1:28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78"/>
      <c r="AA933" s="78"/>
      <c r="AB933" s="78"/>
    </row>
    <row r="934" spans="1:28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78"/>
      <c r="AA934" s="78"/>
      <c r="AB934" s="78"/>
    </row>
    <row r="935" spans="1:28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78"/>
      <c r="AA935" s="78"/>
      <c r="AB935" s="78"/>
    </row>
    <row r="936" spans="1:28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78"/>
      <c r="AA936" s="78"/>
      <c r="AB936" s="78"/>
    </row>
    <row r="937" spans="1:28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78"/>
      <c r="AA937" s="78"/>
      <c r="AB937" s="78"/>
    </row>
    <row r="938" spans="1:2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78"/>
      <c r="AA938" s="78"/>
      <c r="AB938" s="78"/>
    </row>
    <row r="939" spans="1:28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78"/>
      <c r="AA939" s="78"/>
      <c r="AB939" s="78"/>
    </row>
    <row r="940" spans="1:28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78"/>
      <c r="AA940" s="78"/>
      <c r="AB940" s="78"/>
    </row>
    <row r="941" spans="1:28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78"/>
      <c r="AA941" s="78"/>
      <c r="AB941" s="78"/>
    </row>
    <row r="942" spans="1:28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78"/>
      <c r="AA942" s="78"/>
      <c r="AB942" s="78"/>
    </row>
    <row r="943" spans="1:28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78"/>
      <c r="AA943" s="78"/>
      <c r="AB943" s="78"/>
    </row>
    <row r="944" spans="1:28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78"/>
      <c r="AA944" s="78"/>
      <c r="AB944" s="78"/>
    </row>
    <row r="945" spans="1:28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78"/>
      <c r="AA945" s="78"/>
      <c r="AB945" s="78"/>
    </row>
    <row r="946" spans="1:28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78"/>
      <c r="AA946" s="78"/>
      <c r="AB946" s="78"/>
    </row>
    <row r="947" spans="1:28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78"/>
      <c r="AA947" s="78"/>
      <c r="AB947" s="78"/>
    </row>
    <row r="948" spans="1:2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78"/>
      <c r="AA948" s="78"/>
      <c r="AB948" s="78"/>
    </row>
    <row r="949" spans="1:28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78"/>
      <c r="AA949" s="78"/>
      <c r="AB949" s="78"/>
    </row>
    <row r="950" spans="1:28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78"/>
      <c r="AA950" s="78"/>
      <c r="AB950" s="78"/>
    </row>
    <row r="951" spans="1:28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78"/>
      <c r="AA951" s="78"/>
      <c r="AB951" s="78"/>
    </row>
    <row r="952" spans="1:28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78"/>
      <c r="AA952" s="78"/>
      <c r="AB952" s="78"/>
    </row>
    <row r="953" spans="1:28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78"/>
      <c r="AA953" s="78"/>
      <c r="AB953" s="78"/>
    </row>
    <row r="954" spans="1:28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78"/>
      <c r="AA954" s="78"/>
      <c r="AB954" s="78"/>
    </row>
    <row r="955" spans="1:28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78"/>
      <c r="AA955" s="78"/>
      <c r="AB955" s="78"/>
    </row>
    <row r="956" spans="1:28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78"/>
      <c r="AA956" s="78"/>
      <c r="AB956" s="78"/>
    </row>
    <row r="957" spans="1:28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78"/>
      <c r="AA957" s="78"/>
      <c r="AB957" s="78"/>
    </row>
    <row r="958" spans="1:2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78"/>
      <c r="AA958" s="78"/>
      <c r="AB958" s="78"/>
    </row>
    <row r="959" spans="1:28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78"/>
      <c r="AA959" s="78"/>
      <c r="AB959" s="78"/>
    </row>
    <row r="960" spans="1:28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78"/>
      <c r="AA960" s="78"/>
      <c r="AB960" s="78"/>
    </row>
    <row r="961" spans="1:28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78"/>
      <c r="AA961" s="78"/>
      <c r="AB961" s="78"/>
    </row>
    <row r="962" spans="1:28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78"/>
      <c r="AA962" s="78"/>
      <c r="AB962" s="78"/>
    </row>
    <row r="963" spans="1:28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78"/>
      <c r="AA963" s="78"/>
      <c r="AB963" s="78"/>
    </row>
    <row r="964" spans="1:28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78"/>
      <c r="AA964" s="78"/>
      <c r="AB964" s="78"/>
    </row>
    <row r="965" spans="1:28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78"/>
      <c r="AA965" s="78"/>
      <c r="AB965" s="78"/>
    </row>
    <row r="966" spans="1:28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78"/>
      <c r="AA966" s="78"/>
      <c r="AB966" s="78"/>
    </row>
    <row r="967" spans="1:28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78"/>
      <c r="AA967" s="78"/>
      <c r="AB967" s="78"/>
    </row>
    <row r="968" spans="1:2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78"/>
      <c r="AA968" s="78"/>
      <c r="AB968" s="78"/>
    </row>
    <row r="969" spans="1:28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78"/>
      <c r="AA969" s="78"/>
      <c r="AB969" s="78"/>
    </row>
    <row r="970" spans="1:28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78"/>
      <c r="AA970" s="78"/>
      <c r="AB970" s="78"/>
    </row>
    <row r="971" spans="1:28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78"/>
      <c r="AA971" s="78"/>
      <c r="AB971" s="78"/>
    </row>
    <row r="972" spans="1:28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78"/>
      <c r="AA972" s="78"/>
      <c r="AB972" s="78"/>
    </row>
    <row r="973" spans="1:28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78"/>
      <c r="AA973" s="78"/>
      <c r="AB973" s="78"/>
    </row>
    <row r="974" spans="1:28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78"/>
      <c r="AA974" s="78"/>
      <c r="AB974" s="78"/>
    </row>
    <row r="975" spans="1:28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78"/>
      <c r="AA975" s="78"/>
      <c r="AB975" s="78"/>
    </row>
    <row r="976" spans="1:28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78"/>
      <c r="AA976" s="78"/>
      <c r="AB976" s="78"/>
    </row>
    <row r="977" spans="1:28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78"/>
      <c r="AA977" s="78"/>
      <c r="AB977" s="78"/>
    </row>
    <row r="978" spans="1:2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78"/>
      <c r="AA978" s="78"/>
      <c r="AB978" s="78"/>
    </row>
    <row r="979" spans="1:28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78"/>
      <c r="AA979" s="78"/>
      <c r="AB979" s="78"/>
    </row>
    <row r="980" spans="1:28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78"/>
      <c r="AA980" s="78"/>
      <c r="AB980" s="78"/>
    </row>
    <row r="981" spans="1:28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78"/>
      <c r="AA981" s="78"/>
      <c r="AB981" s="78"/>
    </row>
    <row r="982" spans="1:28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78"/>
      <c r="AA982" s="78"/>
      <c r="AB982" s="78"/>
    </row>
    <row r="983" spans="1:28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78"/>
      <c r="AA983" s="78"/>
      <c r="AB983" s="78"/>
    </row>
    <row r="984" spans="1:28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78"/>
      <c r="AA984" s="78"/>
      <c r="AB984" s="78"/>
    </row>
    <row r="985" spans="1:28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78"/>
      <c r="AA985" s="78"/>
      <c r="AB985" s="78"/>
    </row>
    <row r="986" spans="1:28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78"/>
      <c r="AA986" s="78"/>
      <c r="AB986" s="78"/>
    </row>
    <row r="987" spans="1:28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78"/>
      <c r="AA987" s="78"/>
      <c r="AB987" s="78"/>
    </row>
    <row r="988" spans="1:2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78"/>
      <c r="AA988" s="78"/>
      <c r="AB988" s="78"/>
    </row>
    <row r="989" spans="1:28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78"/>
      <c r="AA989" s="78"/>
      <c r="AB989" s="78"/>
    </row>
    <row r="990" spans="1:28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78"/>
      <c r="AA990" s="78"/>
      <c r="AB990" s="78"/>
    </row>
    <row r="991" spans="1:28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78"/>
      <c r="AA991" s="78"/>
      <c r="AB991" s="78"/>
    </row>
    <row r="992" spans="1:28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78"/>
      <c r="AA992" s="78"/>
      <c r="AB992" s="78"/>
    </row>
    <row r="993" spans="1:28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78"/>
      <c r="AA993" s="78"/>
      <c r="AB993" s="78"/>
    </row>
    <row r="994" spans="1:28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78"/>
      <c r="AA994" s="78"/>
      <c r="AB994" s="78"/>
    </row>
    <row r="995" spans="1:28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78"/>
      <c r="AA995" s="78"/>
      <c r="AB995" s="78"/>
    </row>
    <row r="996" spans="1:28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78"/>
      <c r="AA996" s="78"/>
      <c r="AB996" s="78"/>
    </row>
    <row r="997" spans="1:28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78"/>
      <c r="AA997" s="78"/>
      <c r="AB997" s="78"/>
    </row>
    <row r="998" spans="1:2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78"/>
      <c r="AA998" s="78"/>
      <c r="AB998" s="78"/>
    </row>
    <row r="999" spans="1:28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78"/>
      <c r="AA999" s="78"/>
      <c r="AB999" s="78"/>
    </row>
    <row r="1000" spans="1:28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78"/>
      <c r="AA1000" s="78"/>
      <c r="AB1000" s="78"/>
    </row>
    <row r="1001" spans="1:28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78"/>
      <c r="AA1001" s="78"/>
      <c r="AB1001" s="78"/>
    </row>
    <row r="1002" spans="1:28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78"/>
      <c r="AA1002" s="78"/>
      <c r="AB1002" s="78"/>
    </row>
    <row r="1003" spans="1:28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78"/>
      <c r="AA1003" s="78"/>
      <c r="AB1003" s="78"/>
    </row>
    <row r="1004" spans="1:28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78"/>
      <c r="AA1004" s="78"/>
      <c r="AB1004" s="78"/>
    </row>
    <row r="1005" spans="1:28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78"/>
      <c r="AA1005" s="78"/>
      <c r="AB1005" s="78"/>
    </row>
    <row r="1006" spans="1:28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78"/>
      <c r="AA1006" s="78"/>
      <c r="AB1006" s="78"/>
    </row>
    <row r="1007" spans="1:28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78"/>
      <c r="AA1007" s="78"/>
      <c r="AB1007" s="78"/>
    </row>
    <row r="1008" spans="1:2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78"/>
      <c r="AA1008" s="78"/>
      <c r="AB1008" s="78"/>
    </row>
    <row r="1009" spans="1:28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78"/>
      <c r="AA1009" s="78"/>
      <c r="AB1009" s="78"/>
    </row>
    <row r="1010" spans="1:28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78"/>
      <c r="AA1010" s="78"/>
      <c r="AB1010" s="78"/>
    </row>
    <row r="1011" spans="1:28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78"/>
      <c r="AA1011" s="78"/>
      <c r="AB1011" s="78"/>
    </row>
    <row r="1012" spans="1:28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78"/>
      <c r="AA1012" s="78"/>
      <c r="AB1012" s="78"/>
    </row>
    <row r="1013" spans="1:28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78"/>
      <c r="AA1013" s="78"/>
      <c r="AB1013" s="78"/>
    </row>
    <row r="1014" spans="1:28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78"/>
      <c r="AA1014" s="78"/>
      <c r="AB1014" s="78"/>
    </row>
    <row r="1015" spans="1:28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78"/>
      <c r="AA1015" s="78"/>
      <c r="AB1015" s="78"/>
    </row>
    <row r="1016" spans="1:28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78"/>
      <c r="AA1016" s="78"/>
      <c r="AB1016" s="78"/>
    </row>
    <row r="1017" spans="1:28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78"/>
      <c r="AA1017" s="78"/>
      <c r="AB1017" s="78"/>
    </row>
    <row r="1018" spans="1:2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78"/>
      <c r="AA1018" s="78"/>
      <c r="AB1018" s="78"/>
    </row>
    <row r="1019" spans="1:28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78"/>
      <c r="AA1019" s="78"/>
      <c r="AB1019" s="78"/>
    </row>
    <row r="1020" spans="1:28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78"/>
      <c r="AA1020" s="78"/>
      <c r="AB1020" s="78"/>
    </row>
    <row r="1021" spans="1:28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78"/>
      <c r="AA1021" s="78"/>
      <c r="AB1021" s="78"/>
    </row>
    <row r="1022" spans="1:28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78"/>
      <c r="AA1022" s="78"/>
      <c r="AB1022" s="78"/>
    </row>
    <row r="1023" spans="1:28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78"/>
      <c r="AA1023" s="78"/>
      <c r="AB1023" s="78"/>
    </row>
    <row r="1024" spans="1:28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78"/>
      <c r="AA1024" s="78"/>
      <c r="AB1024" s="78"/>
    </row>
    <row r="1025" spans="1:28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78"/>
      <c r="AA1025" s="78"/>
      <c r="AB1025" s="78"/>
    </row>
    <row r="1026" spans="1:28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78"/>
      <c r="AA1026" s="78"/>
      <c r="AB1026" s="78"/>
    </row>
    <row r="1027" spans="1:28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78"/>
      <c r="AA1027" s="78"/>
      <c r="AB1027" s="78"/>
    </row>
    <row r="1028" spans="1: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78"/>
      <c r="AA1028" s="78"/>
      <c r="AB1028" s="78"/>
    </row>
    <row r="1029" spans="1:28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78"/>
      <c r="AA1029" s="78"/>
      <c r="AB1029" s="78"/>
    </row>
    <row r="1030" spans="1:28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78"/>
      <c r="AA1030" s="78"/>
      <c r="AB1030" s="78"/>
    </row>
    <row r="1031" spans="1:28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78"/>
      <c r="AA1031" s="78"/>
      <c r="AB1031" s="78"/>
    </row>
    <row r="1032" spans="1:28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78"/>
      <c r="AA1032" s="78"/>
      <c r="AB1032" s="78"/>
    </row>
    <row r="1033" spans="1:28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78"/>
      <c r="AA1033" s="78"/>
      <c r="AB1033" s="78"/>
    </row>
    <row r="1034" spans="1:28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78"/>
      <c r="AA1034" s="78"/>
      <c r="AB1034" s="78"/>
    </row>
    <row r="1035" spans="1:28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78"/>
      <c r="AA1035" s="78"/>
      <c r="AB1035" s="78"/>
    </row>
    <row r="1036" spans="1:28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78"/>
      <c r="AA1036" s="78"/>
      <c r="AB1036" s="78"/>
    </row>
    <row r="1037" spans="1:28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78"/>
      <c r="AA1037" s="78"/>
      <c r="AB1037" s="78"/>
    </row>
    <row r="1038" spans="1:2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78"/>
      <c r="AA1038" s="78"/>
      <c r="AB1038" s="78"/>
    </row>
    <row r="1039" spans="1:28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78"/>
      <c r="AA1039" s="78"/>
      <c r="AB1039" s="78"/>
    </row>
    <row r="1040" spans="1:28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78"/>
      <c r="AA1040" s="78"/>
      <c r="AB1040" s="78"/>
    </row>
    <row r="1041" spans="1:28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78"/>
      <c r="AA1041" s="78"/>
      <c r="AB1041" s="78"/>
    </row>
    <row r="1042" spans="1:28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78"/>
      <c r="AA1042" s="78"/>
      <c r="AB1042" s="78"/>
    </row>
    <row r="1043" spans="1:28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78"/>
      <c r="AA1043" s="78"/>
      <c r="AB1043" s="78"/>
    </row>
    <row r="1044" spans="1:28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78"/>
      <c r="AA1044" s="78"/>
      <c r="AB1044" s="78"/>
    </row>
    <row r="1045" spans="1:28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78"/>
      <c r="AA1045" s="78"/>
      <c r="AB1045" s="78"/>
    </row>
    <row r="1046" spans="1:28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78"/>
      <c r="AA1046" s="78"/>
      <c r="AB1046" s="78"/>
    </row>
    <row r="1047" spans="1:28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78"/>
      <c r="AA1047" s="78"/>
      <c r="AB1047" s="78"/>
    </row>
    <row r="1048" spans="1:2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78"/>
      <c r="AA1048" s="78"/>
      <c r="AB1048" s="78"/>
    </row>
    <row r="1049" spans="1:28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78"/>
      <c r="AA1049" s="78"/>
      <c r="AB1049" s="78"/>
    </row>
    <row r="1050" spans="1:28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78"/>
      <c r="AA1050" s="78"/>
      <c r="AB1050" s="78"/>
    </row>
    <row r="1051" spans="1:28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78"/>
      <c r="AA1051" s="78"/>
      <c r="AB1051" s="78"/>
    </row>
    <row r="1052" spans="1:28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78"/>
      <c r="AA1052" s="78"/>
      <c r="AB1052" s="78"/>
    </row>
    <row r="1053" spans="1:28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78"/>
      <c r="AA1053" s="78"/>
      <c r="AB1053" s="78"/>
    </row>
    <row r="1054" spans="1:28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78"/>
      <c r="AA1054" s="78"/>
      <c r="AB1054" s="78"/>
    </row>
    <row r="1055" spans="1:28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78"/>
      <c r="AA1055" s="78"/>
      <c r="AB1055" s="78"/>
    </row>
    <row r="1056" spans="1:28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78"/>
      <c r="AA1056" s="78"/>
      <c r="AB1056" s="78"/>
    </row>
    <row r="1057" spans="1:28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78"/>
      <c r="AA1057" s="78"/>
      <c r="AB1057" s="78"/>
    </row>
    <row r="1058" spans="1:2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78"/>
      <c r="AA1058" s="78"/>
      <c r="AB1058" s="78"/>
    </row>
    <row r="1059" spans="1:28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78"/>
      <c r="AA1059" s="78"/>
      <c r="AB1059" s="78"/>
    </row>
    <row r="1060" spans="1:28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78"/>
      <c r="AA1060" s="78"/>
      <c r="AB1060" s="78"/>
    </row>
    <row r="1061" spans="1:28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78"/>
      <c r="AA1061" s="78"/>
      <c r="AB1061" s="78"/>
    </row>
    <row r="1062" spans="1:28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78"/>
      <c r="AA1062" s="78"/>
      <c r="AB1062" s="78"/>
    </row>
    <row r="1063" spans="1:28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78"/>
      <c r="AA1063" s="78"/>
      <c r="AB1063" s="78"/>
    </row>
    <row r="1064" spans="1:28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78"/>
      <c r="AA1064" s="78"/>
      <c r="AB1064" s="78"/>
    </row>
    <row r="1065" spans="1:28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78"/>
      <c r="AA1065" s="78"/>
      <c r="AB1065" s="78"/>
    </row>
    <row r="1066" spans="1:28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78"/>
      <c r="AA1066" s="78"/>
      <c r="AB1066" s="78"/>
    </row>
    <row r="1067" spans="1:28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78"/>
      <c r="AA1067" s="78"/>
      <c r="AB1067" s="78"/>
    </row>
    <row r="1068" spans="1:2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78"/>
      <c r="AA1068" s="78"/>
      <c r="AB1068" s="78"/>
    </row>
    <row r="1069" spans="1:28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78"/>
      <c r="AA1069" s="78"/>
      <c r="AB1069" s="78"/>
    </row>
    <row r="1070" spans="1:28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78"/>
      <c r="AA1070" s="78"/>
      <c r="AB1070" s="78"/>
    </row>
    <row r="1071" spans="1:28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78"/>
      <c r="AA1071" s="78"/>
      <c r="AB1071" s="78"/>
    </row>
    <row r="1072" spans="1:28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78"/>
      <c r="AA1072" s="78"/>
      <c r="AB1072" s="78"/>
    </row>
    <row r="1073" spans="1:28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78"/>
      <c r="AA1073" s="78"/>
      <c r="AB1073" s="78"/>
    </row>
    <row r="1074" spans="1:28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78"/>
      <c r="AA1074" s="78"/>
      <c r="AB1074" s="78"/>
    </row>
    <row r="1075" spans="1:28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78"/>
      <c r="AA1075" s="78"/>
      <c r="AB1075" s="78"/>
    </row>
    <row r="1076" spans="1:28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78"/>
      <c r="AA1076" s="78"/>
      <c r="AB1076" s="78"/>
    </row>
    <row r="1077" spans="1:28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78"/>
      <c r="AA1077" s="78"/>
      <c r="AB1077" s="78"/>
    </row>
    <row r="1078" spans="1:2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78"/>
      <c r="AA1078" s="78"/>
      <c r="AB1078" s="78"/>
    </row>
    <row r="1079" spans="1:28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78"/>
      <c r="AA1079" s="78"/>
      <c r="AB1079" s="78"/>
    </row>
    <row r="1080" spans="1:28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78"/>
      <c r="AA1080" s="78"/>
      <c r="AB1080" s="78"/>
    </row>
    <row r="1081" spans="1:28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78"/>
      <c r="AA1081" s="78"/>
      <c r="AB1081" s="78"/>
    </row>
    <row r="1082" spans="1:28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78"/>
      <c r="AA1082" s="78"/>
      <c r="AB1082" s="78"/>
    </row>
    <row r="1083" spans="1:28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78"/>
      <c r="AA1083" s="78"/>
      <c r="AB1083" s="78"/>
    </row>
    <row r="1084" spans="1:28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78"/>
      <c r="AA1084" s="78"/>
      <c r="AB1084" s="78"/>
    </row>
    <row r="1085" spans="1:28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78"/>
      <c r="AA1085" s="78"/>
      <c r="AB1085" s="78"/>
    </row>
    <row r="1086" spans="1:28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78"/>
      <c r="AA1086" s="78"/>
      <c r="AB1086" s="78"/>
    </row>
    <row r="1087" spans="1:28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78"/>
      <c r="AA1087" s="78"/>
      <c r="AB1087" s="78"/>
    </row>
    <row r="1088" spans="1:2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78"/>
      <c r="AA1088" s="78"/>
      <c r="AB1088" s="78"/>
    </row>
    <row r="1089" spans="1:28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78"/>
      <c r="AA1089" s="78"/>
      <c r="AB1089" s="78"/>
    </row>
    <row r="1090" spans="1:28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78"/>
      <c r="AA1090" s="78"/>
      <c r="AB1090" s="78"/>
    </row>
    <row r="1091" spans="1:28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78"/>
      <c r="AA1091" s="78"/>
      <c r="AB1091" s="78"/>
    </row>
    <row r="1092" spans="1:28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78"/>
      <c r="AA1092" s="78"/>
      <c r="AB1092" s="78"/>
    </row>
    <row r="1093" spans="1:28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78"/>
      <c r="AA1093" s="78"/>
      <c r="AB1093" s="78"/>
    </row>
    <row r="1094" spans="1:28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78"/>
      <c r="AA1094" s="78"/>
      <c r="AB1094" s="78"/>
    </row>
    <row r="1095" spans="1:28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78"/>
      <c r="AA1095" s="78"/>
      <c r="AB1095" s="78"/>
    </row>
    <row r="1096" spans="1:28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78"/>
      <c r="AA1096" s="78"/>
      <c r="AB1096" s="78"/>
    </row>
    <row r="1097" spans="1:28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78"/>
      <c r="AA1097" s="78"/>
      <c r="AB1097" s="78"/>
    </row>
    <row r="1098" spans="1:2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78"/>
      <c r="AA1098" s="78"/>
      <c r="AB1098" s="78"/>
    </row>
    <row r="1099" spans="1:28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78"/>
      <c r="AA1099" s="78"/>
      <c r="AB1099" s="78"/>
    </row>
    <row r="1100" spans="1:28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78"/>
      <c r="AA1100" s="78"/>
      <c r="AB1100" s="78"/>
    </row>
    <row r="1101" spans="1:28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78"/>
      <c r="AA1101" s="78"/>
      <c r="AB1101" s="78"/>
    </row>
    <row r="1102" spans="1:28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78"/>
      <c r="AA1102" s="78"/>
      <c r="AB1102" s="78"/>
    </row>
    <row r="1103" spans="1:28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78"/>
      <c r="AA1103" s="78"/>
      <c r="AB1103" s="78"/>
    </row>
    <row r="1104" spans="1:28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78"/>
      <c r="AA1104" s="78"/>
      <c r="AB1104" s="78"/>
    </row>
    <row r="1105" spans="1:28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78"/>
      <c r="AA1105" s="78"/>
      <c r="AB1105" s="78"/>
    </row>
    <row r="1106" spans="1:28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78"/>
      <c r="AA1106" s="78"/>
      <c r="AB1106" s="78"/>
    </row>
    <row r="1107" spans="1:28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78"/>
      <c r="AA1107" s="78"/>
      <c r="AB1107" s="78"/>
    </row>
    <row r="1108" spans="1:2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78"/>
      <c r="AA1108" s="78"/>
      <c r="AB1108" s="78"/>
    </row>
    <row r="1109" spans="1:28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78"/>
      <c r="AA1109" s="78"/>
      <c r="AB1109" s="78"/>
    </row>
    <row r="1110" spans="1:28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78"/>
      <c r="AA1110" s="78"/>
      <c r="AB1110" s="78"/>
    </row>
    <row r="1111" spans="1:28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78"/>
      <c r="AA1111" s="78"/>
      <c r="AB1111" s="78"/>
    </row>
    <row r="1112" spans="1:28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78"/>
      <c r="AA1112" s="78"/>
      <c r="AB1112" s="78"/>
    </row>
    <row r="1113" spans="1:28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78"/>
      <c r="AA1113" s="78"/>
      <c r="AB1113" s="78"/>
    </row>
    <row r="1114" spans="1:28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78"/>
      <c r="AA1114" s="78"/>
      <c r="AB1114" s="78"/>
    </row>
    <row r="1115" spans="1:28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78"/>
      <c r="AA1115" s="78"/>
      <c r="AB1115" s="78"/>
    </row>
    <row r="1116" spans="1:28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78"/>
      <c r="AA1116" s="78"/>
      <c r="AB1116" s="78"/>
    </row>
    <row r="1117" spans="1:28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78"/>
      <c r="AA1117" s="78"/>
      <c r="AB1117" s="78"/>
    </row>
    <row r="1118" spans="1:2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78"/>
      <c r="AA1118" s="78"/>
      <c r="AB1118" s="78"/>
    </row>
    <row r="1119" spans="1:28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78"/>
      <c r="AA1119" s="78"/>
      <c r="AB1119" s="78"/>
    </row>
    <row r="1120" spans="1:28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78"/>
      <c r="AA1120" s="78"/>
      <c r="AB1120" s="78"/>
    </row>
    <row r="1121" spans="1:28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78"/>
      <c r="AA1121" s="78"/>
      <c r="AB1121" s="78"/>
    </row>
    <row r="1122" spans="1:28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78"/>
      <c r="AA1122" s="78"/>
      <c r="AB1122" s="78"/>
    </row>
    <row r="1123" spans="1:28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78"/>
      <c r="AA1123" s="78"/>
      <c r="AB1123" s="78"/>
    </row>
    <row r="1124" spans="1:28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78"/>
      <c r="AA1124" s="78"/>
      <c r="AB1124" s="78"/>
    </row>
    <row r="1125" spans="1:28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78"/>
      <c r="AA1125" s="78"/>
      <c r="AB1125" s="78"/>
    </row>
    <row r="1126" spans="1:28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78"/>
      <c r="AA1126" s="78"/>
      <c r="AB1126" s="78"/>
    </row>
    <row r="1127" spans="1:28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78"/>
      <c r="AA1127" s="78"/>
      <c r="AB1127" s="78"/>
    </row>
    <row r="1128" spans="1: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78"/>
      <c r="AA1128" s="78"/>
      <c r="AB1128" s="78"/>
    </row>
    <row r="1129" spans="1:28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78"/>
      <c r="AA1129" s="78"/>
      <c r="AB1129" s="78"/>
    </row>
    <row r="1130" spans="1:28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78"/>
      <c r="AA1130" s="78"/>
      <c r="AB1130" s="78"/>
    </row>
    <row r="1131" spans="1:28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78"/>
      <c r="AA1131" s="78"/>
      <c r="AB1131" s="78"/>
    </row>
    <row r="1132" spans="1:28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78"/>
      <c r="AA1132" s="78"/>
      <c r="AB1132" s="78"/>
    </row>
    <row r="1133" spans="1:28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78"/>
      <c r="AA1133" s="78"/>
      <c r="AB1133" s="78"/>
    </row>
    <row r="1134" spans="1:28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78"/>
      <c r="AA1134" s="78"/>
      <c r="AB1134" s="78"/>
    </row>
    <row r="1135" spans="1:28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78"/>
      <c r="AA1135" s="78"/>
      <c r="AB1135" s="78"/>
    </row>
    <row r="1136" spans="1:28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78"/>
      <c r="AA1136" s="78"/>
      <c r="AB1136" s="78"/>
    </row>
    <row r="1137" spans="1:28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78"/>
      <c r="AA1137" s="78"/>
      <c r="AB1137" s="78"/>
    </row>
    <row r="1138" spans="1:2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78"/>
      <c r="AA1138" s="78"/>
      <c r="AB1138" s="78"/>
    </row>
    <row r="1139" spans="1:28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78"/>
      <c r="AA1139" s="78"/>
      <c r="AB1139" s="78"/>
    </row>
    <row r="1140" spans="1:28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78"/>
      <c r="AA1140" s="78"/>
      <c r="AB1140" s="78"/>
    </row>
    <row r="1141" spans="1:28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78"/>
      <c r="AA1141" s="78"/>
      <c r="AB1141" s="78"/>
    </row>
    <row r="1142" spans="1:28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78"/>
      <c r="AA1142" s="78"/>
      <c r="AB1142" s="78"/>
    </row>
    <row r="1143" spans="1:28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78"/>
      <c r="AA1143" s="78"/>
      <c r="AB1143" s="78"/>
    </row>
    <row r="1144" spans="1:28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78"/>
      <c r="AA1144" s="78"/>
      <c r="AB1144" s="78"/>
    </row>
    <row r="1145" spans="1:28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78"/>
      <c r="AA1145" s="78"/>
      <c r="AB1145" s="78"/>
    </row>
    <row r="1146" spans="1:28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78"/>
      <c r="AA1146" s="78"/>
      <c r="AB1146" s="78"/>
    </row>
    <row r="1147" spans="1:28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78"/>
      <c r="AA1147" s="78"/>
      <c r="AB1147" s="78"/>
    </row>
    <row r="1148" spans="1:2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78"/>
      <c r="AA1148" s="78"/>
      <c r="AB1148" s="78"/>
    </row>
    <row r="1149" spans="1:28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78"/>
      <c r="AA1149" s="78"/>
      <c r="AB1149" s="78"/>
    </row>
    <row r="1150" spans="1:28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78"/>
      <c r="AA1150" s="78"/>
      <c r="AB1150" s="78"/>
    </row>
    <row r="1151" spans="1:28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78"/>
      <c r="AA1151" s="78"/>
      <c r="AB1151" s="78"/>
    </row>
    <row r="1152" spans="1:28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78"/>
      <c r="AA1152" s="78"/>
      <c r="AB1152" s="78"/>
    </row>
    <row r="1153" spans="1:28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78"/>
      <c r="AA1153" s="78"/>
      <c r="AB1153" s="78"/>
    </row>
    <row r="1154" spans="1:28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78"/>
      <c r="AA1154" s="78"/>
      <c r="AB1154" s="78"/>
    </row>
    <row r="1155" spans="1:28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78"/>
      <c r="AA1155" s="78"/>
      <c r="AB1155" s="78"/>
    </row>
    <row r="1156" spans="1:28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78"/>
      <c r="AA1156" s="78"/>
      <c r="AB1156" s="78"/>
    </row>
    <row r="1157" spans="1:28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78"/>
      <c r="AA1157" s="78"/>
      <c r="AB1157" s="78"/>
    </row>
    <row r="1158" spans="1:2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78"/>
      <c r="AA1158" s="78"/>
      <c r="AB1158" s="78"/>
    </row>
    <row r="1159" spans="1:28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78"/>
      <c r="AA1159" s="78"/>
      <c r="AB1159" s="78"/>
    </row>
    <row r="1160" spans="1:28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78"/>
      <c r="AA1160" s="78"/>
      <c r="AB1160" s="78"/>
    </row>
    <row r="1161" spans="1:28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78"/>
      <c r="AA1161" s="78"/>
      <c r="AB1161" s="78"/>
    </row>
    <row r="1162" spans="1:28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78"/>
      <c r="AA1162" s="78"/>
      <c r="AB1162" s="78"/>
    </row>
    <row r="1163" spans="1:28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78"/>
      <c r="AA1163" s="78"/>
      <c r="AB1163" s="78"/>
    </row>
    <row r="1164" spans="1:28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78"/>
      <c r="AA1164" s="78"/>
      <c r="AB1164" s="78"/>
    </row>
    <row r="1165" spans="1:28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78"/>
      <c r="AA1165" s="78"/>
      <c r="AB1165" s="78"/>
    </row>
    <row r="1166" spans="1:28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78"/>
      <c r="AA1166" s="78"/>
      <c r="AB1166" s="78"/>
    </row>
    <row r="1167" spans="1:28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78"/>
      <c r="AA1167" s="78"/>
      <c r="AB1167" s="78"/>
    </row>
    <row r="1168" spans="1:2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78"/>
      <c r="AA1168" s="78"/>
      <c r="AB1168" s="78"/>
    </row>
    <row r="1169" spans="1:28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78"/>
      <c r="AA1169" s="78"/>
      <c r="AB1169" s="78"/>
    </row>
    <row r="1170" spans="1:28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78"/>
      <c r="AA1170" s="78"/>
      <c r="AB1170" s="78"/>
    </row>
    <row r="1171" spans="1:28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78"/>
      <c r="AA1171" s="78"/>
      <c r="AB1171" s="78"/>
    </row>
    <row r="1172" spans="1:28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78"/>
      <c r="AA1172" s="78"/>
      <c r="AB1172" s="78"/>
    </row>
    <row r="1173" spans="1:28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78"/>
      <c r="AA1173" s="78"/>
      <c r="AB1173" s="78"/>
    </row>
    <row r="1174" spans="1:28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78"/>
      <c r="AA1174" s="78"/>
      <c r="AB1174" s="78"/>
    </row>
    <row r="1175" spans="1:28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78"/>
      <c r="AA1175" s="78"/>
      <c r="AB1175" s="78"/>
    </row>
    <row r="1176" spans="1:28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78"/>
      <c r="AA1176" s="78"/>
      <c r="AB1176" s="78"/>
    </row>
    <row r="1177" spans="1:28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78"/>
      <c r="AA1177" s="78"/>
      <c r="AB1177" s="78"/>
    </row>
    <row r="1178" spans="1:2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78"/>
      <c r="AA1178" s="78"/>
      <c r="AB1178" s="78"/>
    </row>
    <row r="1179" spans="1:28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78"/>
      <c r="AA1179" s="78"/>
      <c r="AB1179" s="78"/>
    </row>
    <row r="1180" spans="1:28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78"/>
      <c r="AA1180" s="78"/>
      <c r="AB1180" s="78"/>
    </row>
    <row r="1181" spans="1:28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78"/>
      <c r="AA1181" s="78"/>
      <c r="AB1181" s="78"/>
    </row>
    <row r="1182" spans="1:28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78"/>
      <c r="AA1182" s="78"/>
      <c r="AB1182" s="78"/>
    </row>
    <row r="1183" spans="1:28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78"/>
      <c r="AA1183" s="78"/>
      <c r="AB1183" s="78"/>
    </row>
    <row r="1184" spans="1:28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78"/>
      <c r="AA1184" s="78"/>
      <c r="AB1184" s="78"/>
    </row>
    <row r="1185" spans="1:28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78"/>
      <c r="AA1185" s="78"/>
      <c r="AB1185" s="78"/>
    </row>
    <row r="1186" spans="1:28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78"/>
      <c r="AA1186" s="78"/>
      <c r="AB1186" s="78"/>
    </row>
    <row r="1187" spans="1:28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78"/>
      <c r="AA1187" s="78"/>
      <c r="AB1187" s="78"/>
    </row>
    <row r="1188" spans="1:2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78"/>
      <c r="AA1188" s="78"/>
      <c r="AB1188" s="78"/>
    </row>
    <row r="1189" spans="1:28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78"/>
      <c r="AA1189" s="78"/>
      <c r="AB1189" s="78"/>
    </row>
    <row r="1190" spans="1:28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78"/>
      <c r="AA1190" s="78"/>
      <c r="AB1190" s="78"/>
    </row>
    <row r="1191" spans="1:28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78"/>
      <c r="AA1191" s="78"/>
      <c r="AB1191" s="78"/>
    </row>
    <row r="1192" spans="1:28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78"/>
      <c r="AA1192" s="78"/>
      <c r="AB1192" s="78"/>
    </row>
    <row r="1193" spans="1:28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78"/>
      <c r="AA1193" s="78"/>
      <c r="AB1193" s="78"/>
    </row>
    <row r="1194" spans="1:28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78"/>
      <c r="AA1194" s="78"/>
      <c r="AB1194" s="78"/>
    </row>
    <row r="1195" spans="1:28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78"/>
      <c r="AA1195" s="78"/>
      <c r="AB1195" s="78"/>
    </row>
    <row r="1196" spans="1:28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78"/>
      <c r="AA1196" s="78"/>
      <c r="AB1196" s="78"/>
    </row>
    <row r="1197" spans="1:28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78"/>
      <c r="AA1197" s="78"/>
      <c r="AB1197" s="78"/>
    </row>
    <row r="1198" spans="1:2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78"/>
      <c r="AA1198" s="78"/>
      <c r="AB1198" s="78"/>
    </row>
    <row r="1199" spans="1:28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78"/>
      <c r="AA1199" s="78"/>
      <c r="AB1199" s="78"/>
    </row>
    <row r="1200" spans="1:28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78"/>
      <c r="AA1200" s="78"/>
      <c r="AB1200" s="78"/>
    </row>
    <row r="1201" spans="1:28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78"/>
      <c r="AA1201" s="78"/>
      <c r="AB1201" s="78"/>
    </row>
    <row r="1202" spans="1:28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78"/>
      <c r="AA1202" s="78"/>
      <c r="AB1202" s="78"/>
    </row>
    <row r="1203" spans="1:28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78"/>
      <c r="AA1203" s="78"/>
      <c r="AB1203" s="78"/>
    </row>
    <row r="1204" spans="1:28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78"/>
      <c r="AA1204" s="78"/>
      <c r="AB1204" s="78"/>
    </row>
    <row r="1205" spans="1:28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78"/>
      <c r="AA1205" s="78"/>
      <c r="AB1205" s="78"/>
    </row>
    <row r="1206" spans="1:28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78"/>
      <c r="AA1206" s="78"/>
      <c r="AB1206" s="78"/>
    </row>
    <row r="1207" spans="1:28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78"/>
      <c r="AA1207" s="78"/>
      <c r="AB1207" s="78"/>
    </row>
    <row r="1208" spans="1:2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78"/>
      <c r="AA1208" s="78"/>
      <c r="AB1208" s="78"/>
    </row>
    <row r="1209" spans="1:28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78"/>
      <c r="AA1209" s="78"/>
      <c r="AB1209" s="78"/>
    </row>
    <row r="1210" spans="1:28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78"/>
      <c r="AA1210" s="78"/>
      <c r="AB1210" s="78"/>
    </row>
    <row r="1211" spans="1:28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78"/>
      <c r="AA1211" s="78"/>
      <c r="AB1211" s="78"/>
    </row>
    <row r="1212" spans="1:28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78"/>
      <c r="AA1212" s="78"/>
      <c r="AB1212" s="78"/>
    </row>
    <row r="1213" spans="1:28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78"/>
      <c r="AA1213" s="78"/>
      <c r="AB1213" s="78"/>
    </row>
    <row r="1214" spans="1:28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78"/>
      <c r="AA1214" s="78"/>
      <c r="AB1214" s="78"/>
    </row>
    <row r="1215" spans="1:28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78"/>
      <c r="AA1215" s="78"/>
      <c r="AB1215" s="78"/>
    </row>
    <row r="1216" spans="1:28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78"/>
      <c r="AA1216" s="78"/>
      <c r="AB1216" s="78"/>
    </row>
    <row r="1217" spans="1:28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78"/>
      <c r="AA1217" s="78"/>
      <c r="AB1217" s="78"/>
    </row>
    <row r="1218" spans="1:2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78"/>
      <c r="AA1218" s="78"/>
      <c r="AB1218" s="78"/>
    </row>
    <row r="1219" spans="1:28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78"/>
      <c r="AA1219" s="78"/>
      <c r="AB1219" s="78"/>
    </row>
    <row r="1220" spans="1:28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78"/>
      <c r="AA1220" s="78"/>
      <c r="AB1220" s="78"/>
    </row>
    <row r="1221" spans="1:28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78"/>
      <c r="AA1221" s="78"/>
      <c r="AB1221" s="78"/>
    </row>
    <row r="1222" spans="1:28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78"/>
      <c r="AA1222" s="78"/>
      <c r="AB1222" s="78"/>
    </row>
    <row r="1223" spans="1:28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78"/>
      <c r="AA1223" s="78"/>
      <c r="AB1223" s="78"/>
    </row>
    <row r="1224" spans="1:28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78"/>
      <c r="AA1224" s="78"/>
      <c r="AB1224" s="78"/>
    </row>
    <row r="1225" spans="1:28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78"/>
      <c r="AA1225" s="78"/>
      <c r="AB1225" s="78"/>
    </row>
    <row r="1226" spans="1:28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78"/>
      <c r="AA1226" s="78"/>
      <c r="AB1226" s="78"/>
    </row>
    <row r="1227" spans="1:28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78"/>
      <c r="AA1227" s="78"/>
      <c r="AB1227" s="78"/>
    </row>
    <row r="1228" spans="1: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78"/>
      <c r="AA1228" s="78"/>
      <c r="AB1228" s="78"/>
    </row>
    <row r="1229" spans="1:28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78"/>
      <c r="AA1229" s="78"/>
      <c r="AB1229" s="78"/>
    </row>
    <row r="1230" spans="1:28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78"/>
      <c r="AA1230" s="78"/>
      <c r="AB1230" s="78"/>
    </row>
    <row r="1231" spans="1:28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78"/>
      <c r="AA1231" s="78"/>
      <c r="AB1231" s="78"/>
    </row>
    <row r="1232" spans="1:28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78"/>
      <c r="AA1232" s="78"/>
      <c r="AB1232" s="78"/>
    </row>
    <row r="1233" spans="1:28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78"/>
      <c r="AA1233" s="78"/>
      <c r="AB1233" s="78"/>
    </row>
    <row r="1234" spans="1:28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78"/>
      <c r="AA1234" s="78"/>
      <c r="AB1234" s="78"/>
    </row>
    <row r="1235" spans="1:28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78"/>
      <c r="AA1235" s="78"/>
      <c r="AB1235" s="78"/>
    </row>
    <row r="1236" spans="1:28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78"/>
      <c r="AA1236" s="78"/>
      <c r="AB1236" s="78"/>
    </row>
    <row r="1237" spans="1:28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78"/>
      <c r="AA1237" s="78"/>
      <c r="AB1237" s="78"/>
    </row>
    <row r="1238" spans="1:2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78"/>
      <c r="AA1238" s="78"/>
      <c r="AB1238" s="78"/>
    </row>
    <row r="1239" spans="1:28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78"/>
      <c r="AA1239" s="78"/>
      <c r="AB1239" s="78"/>
    </row>
    <row r="1240" spans="1:28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78"/>
      <c r="AA1240" s="78"/>
      <c r="AB1240" s="78"/>
    </row>
    <row r="1241" spans="1:28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78"/>
      <c r="AA1241" s="78"/>
      <c r="AB1241" s="78"/>
    </row>
    <row r="1242" spans="1:28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78"/>
      <c r="AA1242" s="78"/>
      <c r="AB1242" s="78"/>
    </row>
    <row r="1243" spans="1:28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78"/>
      <c r="AA1243" s="78"/>
      <c r="AB1243" s="78"/>
    </row>
    <row r="1244" spans="1:28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78"/>
      <c r="AA1244" s="78"/>
      <c r="AB1244" s="78"/>
    </row>
    <row r="1245" spans="1:28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78"/>
      <c r="AA1245" s="78"/>
      <c r="AB1245" s="78"/>
    </row>
    <row r="1246" spans="1:28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78"/>
      <c r="AA1246" s="78"/>
      <c r="AB1246" s="78"/>
    </row>
    <row r="1247" spans="1:28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78"/>
      <c r="AA1247" s="78"/>
      <c r="AB1247" s="78"/>
    </row>
    <row r="1248" spans="1:2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78"/>
      <c r="AA1248" s="78"/>
      <c r="AB1248" s="78"/>
    </row>
    <row r="1249" spans="1:28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78"/>
      <c r="AA1249" s="78"/>
      <c r="AB1249" s="78"/>
    </row>
    <row r="1250" spans="1:28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78"/>
      <c r="AA1250" s="78"/>
      <c r="AB1250" s="78"/>
    </row>
    <row r="1251" spans="1:28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78"/>
      <c r="AA1251" s="78"/>
      <c r="AB1251" s="78"/>
    </row>
    <row r="1252" spans="1:28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78"/>
      <c r="AA1252" s="78"/>
      <c r="AB1252" s="78"/>
    </row>
    <row r="1253" spans="1:28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78"/>
      <c r="AA1253" s="78"/>
      <c r="AB1253" s="78"/>
    </row>
    <row r="1254" spans="1:28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78"/>
      <c r="AA1254" s="78"/>
      <c r="AB1254" s="78"/>
    </row>
    <row r="1255" spans="1:28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78"/>
      <c r="AA1255" s="78"/>
      <c r="AB1255" s="78"/>
    </row>
    <row r="1256" spans="1:28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78"/>
      <c r="AA1256" s="78"/>
      <c r="AB1256" s="78"/>
    </row>
    <row r="1257" spans="1:28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78"/>
      <c r="AA1257" s="78"/>
      <c r="AB1257" s="78"/>
    </row>
    <row r="1258" spans="1:2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78"/>
      <c r="AA1258" s="78"/>
      <c r="AB1258" s="78"/>
    </row>
    <row r="1259" spans="1:28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78"/>
      <c r="AA1259" s="78"/>
      <c r="AB1259" s="78"/>
    </row>
    <row r="1260" spans="1:28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78"/>
      <c r="AA1260" s="78"/>
      <c r="AB1260" s="78"/>
    </row>
    <row r="1261" spans="1:28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78"/>
      <c r="AA1261" s="78"/>
      <c r="AB1261" s="78"/>
    </row>
    <row r="1262" spans="1:28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78"/>
      <c r="AA1262" s="78"/>
      <c r="AB1262" s="78"/>
    </row>
    <row r="1263" spans="1:28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78"/>
      <c r="AA1263" s="78"/>
      <c r="AB1263" s="78"/>
    </row>
    <row r="1264" spans="1:28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78"/>
      <c r="AA1264" s="78"/>
      <c r="AB1264" s="78"/>
    </row>
    <row r="1265" spans="1:28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78"/>
      <c r="AA1265" s="78"/>
      <c r="AB1265" s="78"/>
    </row>
    <row r="1266" spans="1:28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78"/>
      <c r="AA1266" s="78"/>
      <c r="AB1266" s="78"/>
    </row>
    <row r="1267" spans="1:28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78"/>
      <c r="AA1267" s="78"/>
      <c r="AB1267" s="78"/>
    </row>
    <row r="1268" spans="1:2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78"/>
      <c r="AA1268" s="78"/>
      <c r="AB1268" s="78"/>
    </row>
    <row r="1269" spans="1:28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78"/>
      <c r="AA1269" s="78"/>
      <c r="AB1269" s="78"/>
    </row>
    <row r="1270" spans="1:28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78"/>
      <c r="AA1270" s="78"/>
      <c r="AB1270" s="78"/>
    </row>
    <row r="1271" spans="1:28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78"/>
      <c r="AA1271" s="78"/>
      <c r="AB1271" s="78"/>
    </row>
    <row r="1272" spans="1:28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78"/>
      <c r="AA1272" s="78"/>
      <c r="AB1272" s="78"/>
    </row>
    <row r="1273" spans="1:28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78"/>
      <c r="AA1273" s="78"/>
      <c r="AB1273" s="78"/>
    </row>
    <row r="1274" spans="1:28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78"/>
      <c r="AA1274" s="78"/>
      <c r="AB1274" s="78"/>
    </row>
    <row r="1275" spans="1:28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78"/>
      <c r="AA1275" s="78"/>
      <c r="AB1275" s="78"/>
    </row>
    <row r="1276" spans="1:28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78"/>
      <c r="AA1276" s="78"/>
      <c r="AB1276" s="78"/>
    </row>
    <row r="1277" spans="1:28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78"/>
      <c r="AA1277" s="78"/>
      <c r="AB1277" s="78"/>
    </row>
    <row r="1278" spans="1:2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78"/>
      <c r="AA1278" s="78"/>
      <c r="AB1278" s="78"/>
    </row>
    <row r="1279" spans="1:28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78"/>
      <c r="AA1279" s="78"/>
      <c r="AB1279" s="78"/>
    </row>
    <row r="1280" spans="1:28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78"/>
      <c r="AA1280" s="78"/>
      <c r="AB1280" s="78"/>
    </row>
    <row r="1281" spans="1:28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78"/>
      <c r="AA1281" s="78"/>
      <c r="AB1281" s="78"/>
    </row>
    <row r="1282" spans="1:28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78"/>
      <c r="AA1282" s="78"/>
      <c r="AB1282" s="78"/>
    </row>
    <row r="1283" spans="1:28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78"/>
      <c r="AA1283" s="78"/>
      <c r="AB1283" s="78"/>
    </row>
    <row r="1284" spans="1:28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78"/>
      <c r="AA1284" s="78"/>
      <c r="AB1284" s="78"/>
    </row>
    <row r="1285" spans="1:28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78"/>
      <c r="AA1285" s="78"/>
      <c r="AB1285" s="78"/>
    </row>
    <row r="1286" spans="1:28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78"/>
      <c r="AA1286" s="78"/>
      <c r="AB1286" s="78"/>
    </row>
    <row r="1287" spans="1:28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78"/>
      <c r="AA1287" s="78"/>
      <c r="AB1287" s="78"/>
    </row>
    <row r="1288" spans="1:2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78"/>
      <c r="AA1288" s="78"/>
      <c r="AB1288" s="78"/>
    </row>
    <row r="1289" spans="1:28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78"/>
      <c r="AA1289" s="78"/>
      <c r="AB1289" s="78"/>
    </row>
    <row r="1290" spans="1:28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78"/>
      <c r="AA1290" s="78"/>
      <c r="AB1290" s="78"/>
    </row>
    <row r="1291" spans="1:28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78"/>
      <c r="AA1291" s="78"/>
      <c r="AB1291" s="78"/>
    </row>
    <row r="1292" spans="1:28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78"/>
      <c r="AA1292" s="78"/>
      <c r="AB1292" s="78"/>
    </row>
    <row r="1293" spans="1:28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78"/>
      <c r="AA1293" s="78"/>
      <c r="AB1293" s="78"/>
    </row>
    <row r="1294" spans="1:28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78"/>
      <c r="AA1294" s="78"/>
      <c r="AB1294" s="78"/>
    </row>
    <row r="1295" spans="1:28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78"/>
      <c r="AA1295" s="78"/>
      <c r="AB1295" s="78"/>
    </row>
    <row r="1296" spans="1:28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78"/>
      <c r="AA1296" s="78"/>
      <c r="AB1296" s="78"/>
    </row>
    <row r="1297" spans="1:28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78"/>
      <c r="AA1297" s="78"/>
      <c r="AB1297" s="78"/>
    </row>
    <row r="1298" spans="1:2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78"/>
      <c r="AA1298" s="78"/>
      <c r="AB1298" s="78"/>
    </row>
    <row r="1299" spans="1:28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78"/>
      <c r="AA1299" s="78"/>
      <c r="AB1299" s="78"/>
    </row>
    <row r="1300" spans="1:28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78"/>
      <c r="AA1300" s="78"/>
      <c r="AB1300" s="78"/>
    </row>
    <row r="1301" spans="1:28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78"/>
      <c r="AA1301" s="78"/>
      <c r="AB1301" s="78"/>
    </row>
    <row r="1302" spans="1:28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78"/>
      <c r="AA1302" s="78"/>
      <c r="AB1302" s="78"/>
    </row>
    <row r="1303" spans="1:28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78"/>
      <c r="AA1303" s="78"/>
      <c r="AB1303" s="78"/>
    </row>
    <row r="1304" spans="1:28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78"/>
      <c r="AA1304" s="78"/>
      <c r="AB1304" s="78"/>
    </row>
    <row r="1305" spans="1:28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78"/>
      <c r="AA1305" s="78"/>
      <c r="AB1305" s="78"/>
    </row>
    <row r="1306" spans="1:28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78"/>
      <c r="AA1306" s="78"/>
      <c r="AB1306" s="78"/>
    </row>
    <row r="1307" spans="1:28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78"/>
      <c r="AA1307" s="78"/>
      <c r="AB1307" s="78"/>
    </row>
    <row r="1308" spans="1:2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78"/>
      <c r="AA1308" s="78"/>
      <c r="AB1308" s="78"/>
    </row>
    <row r="1309" spans="1:28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78"/>
      <c r="AA1309" s="78"/>
      <c r="AB1309" s="78"/>
    </row>
    <row r="1310" spans="1:28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78"/>
      <c r="AA1310" s="78"/>
      <c r="AB1310" s="78"/>
    </row>
    <row r="1311" spans="1:28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78"/>
      <c r="AA1311" s="78"/>
      <c r="AB1311" s="78"/>
    </row>
    <row r="1312" spans="1:28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78"/>
      <c r="AA1312" s="78"/>
      <c r="AB1312" s="78"/>
    </row>
    <row r="1313" spans="1:28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78"/>
      <c r="AA1313" s="78"/>
      <c r="AB1313" s="78"/>
    </row>
    <row r="1314" spans="1:28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78"/>
      <c r="AA1314" s="78"/>
      <c r="AB1314" s="78"/>
    </row>
    <row r="1315" spans="1:28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78"/>
      <c r="AA1315" s="78"/>
      <c r="AB1315" s="78"/>
    </row>
    <row r="1316" spans="1:28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78"/>
      <c r="AA1316" s="78"/>
      <c r="AB1316" s="78"/>
    </row>
    <row r="1317" spans="1:28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78"/>
      <c r="AA1317" s="78"/>
      <c r="AB1317" s="78"/>
    </row>
    <row r="1318" spans="1:2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78"/>
      <c r="AA1318" s="78"/>
      <c r="AB1318" s="78"/>
    </row>
    <row r="1319" spans="1:28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78"/>
      <c r="AA1319" s="78"/>
      <c r="AB1319" s="78"/>
    </row>
    <row r="1320" spans="1:28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78"/>
      <c r="AA1320" s="78"/>
      <c r="AB1320" s="78"/>
    </row>
    <row r="1321" spans="1:28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78"/>
      <c r="AA1321" s="78"/>
      <c r="AB1321" s="78"/>
    </row>
    <row r="1322" spans="1:28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78"/>
      <c r="AA1322" s="78"/>
      <c r="AB1322" s="78"/>
    </row>
    <row r="1323" spans="1:28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78"/>
      <c r="AA1323" s="78"/>
      <c r="AB1323" s="78"/>
    </row>
    <row r="1324" spans="1:28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78"/>
      <c r="AA1324" s="78"/>
      <c r="AB1324" s="78"/>
    </row>
    <row r="1325" spans="1:28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78"/>
      <c r="AA1325" s="78"/>
      <c r="AB1325" s="78"/>
    </row>
    <row r="1326" spans="1:28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78"/>
      <c r="AA1326" s="78"/>
      <c r="AB1326" s="78"/>
    </row>
    <row r="1327" spans="1:28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78"/>
      <c r="AA1327" s="78"/>
      <c r="AB1327" s="78"/>
    </row>
    <row r="1328" spans="1: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78"/>
      <c r="AA1328" s="78"/>
      <c r="AB1328" s="78"/>
    </row>
    <row r="1329" spans="1:28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78"/>
      <c r="AA1329" s="78"/>
      <c r="AB1329" s="78"/>
    </row>
    <row r="1330" spans="1:28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78"/>
      <c r="AA1330" s="78"/>
      <c r="AB1330" s="78"/>
    </row>
    <row r="1331" spans="1:28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78"/>
      <c r="AA1331" s="78"/>
      <c r="AB1331" s="78"/>
    </row>
    <row r="1332" spans="1:28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78"/>
      <c r="AA1332" s="78"/>
      <c r="AB1332" s="78"/>
    </row>
    <row r="1333" spans="1:28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78"/>
      <c r="AA1333" s="78"/>
      <c r="AB1333" s="78"/>
    </row>
    <row r="1334" spans="1:28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78"/>
      <c r="AA1334" s="78"/>
      <c r="AB1334" s="78"/>
    </row>
    <row r="1335" spans="1:28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78"/>
      <c r="AA1335" s="78"/>
      <c r="AB1335" s="78"/>
    </row>
    <row r="1336" spans="1:28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78"/>
      <c r="AA1336" s="78"/>
      <c r="AB1336" s="78"/>
    </row>
    <row r="1337" spans="1:28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78"/>
      <c r="AA1337" s="78"/>
      <c r="AB1337" s="78"/>
    </row>
    <row r="1338" spans="1:2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78"/>
      <c r="AA1338" s="78"/>
      <c r="AB1338" s="78"/>
    </row>
    <row r="1339" spans="1:28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78"/>
      <c r="AA1339" s="78"/>
      <c r="AB1339" s="78"/>
    </row>
    <row r="1340" spans="1:28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78"/>
      <c r="AA1340" s="78"/>
      <c r="AB1340" s="78"/>
    </row>
    <row r="1341" spans="1:28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78"/>
      <c r="AA1341" s="78"/>
      <c r="AB1341" s="78"/>
    </row>
    <row r="1342" spans="1:28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78"/>
      <c r="AA1342" s="78"/>
      <c r="AB1342" s="78"/>
    </row>
    <row r="1343" spans="1:28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78"/>
      <c r="AA1343" s="78"/>
      <c r="AB1343" s="78"/>
    </row>
    <row r="1344" spans="1:28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78"/>
      <c r="AA1344" s="78"/>
      <c r="AB1344" s="78"/>
    </row>
    <row r="1345" spans="1:28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78"/>
      <c r="AA1345" s="78"/>
      <c r="AB1345" s="78"/>
    </row>
    <row r="1346" spans="1:28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78"/>
      <c r="AA1346" s="78"/>
      <c r="AB1346" s="78"/>
    </row>
    <row r="1347" spans="1:28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78"/>
      <c r="AA1347" s="78"/>
      <c r="AB1347" s="78"/>
    </row>
    <row r="1348" spans="1:2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78"/>
      <c r="AA1348" s="78"/>
      <c r="AB1348" s="78"/>
    </row>
    <row r="1349" spans="1:28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78"/>
      <c r="AA1349" s="78"/>
      <c r="AB1349" s="78"/>
    </row>
    <row r="1350" spans="1:28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78"/>
      <c r="AA1350" s="78"/>
      <c r="AB1350" s="78"/>
    </row>
    <row r="1351" spans="1:28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78"/>
      <c r="AA1351" s="78"/>
      <c r="AB1351" s="78"/>
    </row>
    <row r="1352" spans="1:28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78"/>
      <c r="AA1352" s="78"/>
      <c r="AB1352" s="78"/>
    </row>
  </sheetData>
  <mergeCells count="7">
    <mergeCell ref="A316:E316"/>
    <mergeCell ref="A372:E372"/>
    <mergeCell ref="A2:J2"/>
    <mergeCell ref="A87:J87"/>
    <mergeCell ref="A140:E140"/>
    <mergeCell ref="A201:J201"/>
    <mergeCell ref="A256:E256"/>
  </mergeCells>
  <hyperlinks>
    <hyperlink ref="F63" r:id="rId1" xr:uid="{00000000-0004-0000-0200-000000000000}"/>
    <hyperlink ref="F64" r:id="rId2" xr:uid="{00000000-0004-0000-0200-000001000000}"/>
    <hyperlink ref="F65" r:id="rId3" xr:uid="{00000000-0004-0000-0200-000002000000}"/>
    <hyperlink ref="F66" r:id="rId4" xr:uid="{00000000-0004-0000-0200-000003000000}"/>
    <hyperlink ref="F67" r:id="rId5" xr:uid="{00000000-0004-0000-0200-000004000000}"/>
    <hyperlink ref="F68" r:id="rId6" xr:uid="{00000000-0004-0000-0200-000005000000}"/>
    <hyperlink ref="F69" r:id="rId7" xr:uid="{00000000-0004-0000-0200-000006000000}"/>
    <hyperlink ref="F70" r:id="rId8" xr:uid="{00000000-0004-0000-0200-000007000000}"/>
    <hyperlink ref="F71" r:id="rId9" xr:uid="{00000000-0004-0000-0200-000008000000}"/>
    <hyperlink ref="F72" r:id="rId10" xr:uid="{00000000-0004-0000-0200-000009000000}"/>
    <hyperlink ref="F73" r:id="rId11" xr:uid="{00000000-0004-0000-0200-00000A000000}"/>
    <hyperlink ref="F74" r:id="rId12" xr:uid="{00000000-0004-0000-0200-00000B000000}"/>
    <hyperlink ref="F75" r:id="rId13" xr:uid="{00000000-0004-0000-0200-00000C000000}"/>
    <hyperlink ref="F76" r:id="rId14" xr:uid="{00000000-0004-0000-0200-00000D000000}"/>
    <hyperlink ref="F77" r:id="rId15" xr:uid="{00000000-0004-0000-0200-00000E000000}"/>
    <hyperlink ref="F78" r:id="rId16" xr:uid="{00000000-0004-0000-0200-00000F000000}"/>
    <hyperlink ref="F79" r:id="rId17" xr:uid="{00000000-0004-0000-0200-000010000000}"/>
    <hyperlink ref="F80" r:id="rId18" xr:uid="{00000000-0004-0000-0200-000011000000}"/>
    <hyperlink ref="F81" r:id="rId19" xr:uid="{00000000-0004-0000-0200-000012000000}"/>
    <hyperlink ref="F82" r:id="rId20" xr:uid="{00000000-0004-0000-0200-000013000000}"/>
    <hyperlink ref="F83" r:id="rId21" xr:uid="{00000000-0004-0000-0200-000014000000}"/>
    <hyperlink ref="F337" r:id="rId22" xr:uid="{00000000-0004-0000-02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 results</vt:lpstr>
      <vt:lpstr>Podium </vt:lpstr>
      <vt:lpstr>All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Prasad</dc:creator>
  <cp:lastModifiedBy>Harish Prasad</cp:lastModifiedBy>
  <dcterms:created xsi:type="dcterms:W3CDTF">2006-09-16T00:00:00Z</dcterms:created>
  <dcterms:modified xsi:type="dcterms:W3CDTF">2026-09-08T09:21:15Z</dcterms:modified>
</cp:coreProperties>
</file>